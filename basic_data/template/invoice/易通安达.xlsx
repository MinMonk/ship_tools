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发票箱单" sheetId="1" r:id="rId1"/>
    <sheet name="走货线路名和申报币别要求-不能删" sheetId="2" r:id="rId2"/>
    <sheet name="地址库" sheetId="4" r:id="rId3"/>
    <sheet name="填写范本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X1 Yoga</author>
    <author>Stone CL.</author>
    <author>CL.Stone</author>
  </authors>
  <commentList>
    <comment ref="A1" authorId="0">
      <text>
        <r>
          <rPr>
            <b/>
            <sz val="12"/>
            <rFont val="宋体"/>
            <charset val="134"/>
          </rPr>
          <t xml:space="preserve">
贵司内部订单号或者快递单号，或者FBA单号都可
</t>
        </r>
      </text>
    </comment>
    <comment ref="C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14"/>
            <rFont val="宋体"/>
            <charset val="134"/>
          </rPr>
          <t xml:space="preserve">
如果有一票多个FBA号码一起发货，多出的FBA号请填写在C12备注栏！
如FBA123456788
（注意，不要U）</t>
        </r>
      </text>
    </comment>
    <comment ref="A2" authorId="0">
      <text>
        <r>
          <rPr>
            <sz val="12"/>
            <rFont val="宋体"/>
            <charset val="134"/>
          </rPr>
          <t xml:space="preserve">
货物准备交我司哪个仓库</t>
        </r>
      </text>
    </comment>
    <comment ref="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开户账号 
如没有可联系客服</t>
        </r>
      </text>
    </commen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填写贵司的系统登录账号</t>
        </r>
      </text>
    </comment>
    <comment ref="C3" authorId="0">
      <text>
        <r>
          <rPr>
            <sz val="12"/>
            <rFont val="宋体"/>
            <charset val="134"/>
          </rPr>
          <t xml:space="preserve">
单票清关:是欧洲不包税渠道，单票不包税清关;
合并清关：几票合在一起清关（必须在C12备注栏写清楚哪几票合并）
美国清关：美国的所有渠道都选择美国清关！
包税：非美国的其他包税渠道
</t>
        </r>
      </text>
    </comment>
    <comment ref="A4" authorId="0">
      <text>
        <r>
          <rPr>
            <sz val="9"/>
            <rFont val="宋体"/>
            <charset val="134"/>
          </rPr>
          <t xml:space="preserve">
填写贵司的系统登录账号
如无请找专属客服索取
</t>
        </r>
      </text>
    </comment>
    <comment ref="A5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买单报关：一般是不具备出口权，不具备出口退税的条件，不需要国内退税的企业
单独报关：国内需要退税的企业，需要提供报关资料（包含报关单 发票委托书 装箱单 申报要素等   
</t>
        </r>
      </text>
    </comment>
    <comment ref="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请按以下标准填写：
英国按kg计费，全部填写英国；
英国按卡派计费，填写亚马逊仓库代码（非亚马逊地址除外）
美国海派、空运，按报价表的分区填写美西，美中，美东，FTW1属于美中填写FTW1作为目的国
美国卡派：填写亚马逊仓库代码（非亚马逊地址除外）
其他未列明国家 ，直接填写国家！（中文）</t>
        </r>
      </text>
    </comment>
    <comment ref="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自用VAT清关必填</t>
        </r>
      </text>
    </comment>
    <comment ref="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【必填】如果是亚马逊地址，必填亚马逊仓库代码；
如果不是亚马逊地址，可不填
</t>
        </r>
      </text>
    </commen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【必填】如果是亚马逊地址，必填亚马逊仓库代码；
如果是非亚马逊地址，可不填</t>
        </r>
      </text>
    </comment>
    <comment ref="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C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自用VAT清关必填
</t>
        </r>
      </text>
    </comment>
    <comment ref="A11" authorId="0">
      <text>
        <r>
          <rPr>
            <b/>
            <sz val="9"/>
            <rFont val="宋体"/>
            <charset val="134"/>
          </rPr>
          <t>=</t>
        </r>
        <r>
          <rPr>
            <sz val="9"/>
            <rFont val="宋体"/>
            <charset val="134"/>
          </rPr>
          <t xml:space="preserve">
亚马逊地址可不填
非亚马逊地址必填！！！
</t>
        </r>
      </text>
    </comment>
    <comment ref="C13" authorId="0">
      <text>
        <r>
          <rPr>
            <sz val="16"/>
            <rFont val="宋体"/>
            <charset val="134"/>
          </rPr>
          <t xml:space="preserve">
需要填写邮箱的渠道有：
1，比利时递延海运快递派
2，比利时递延海运卡派
3，美国海运卡派私人地址/海外仓地址</t>
        </r>
      </text>
    </comment>
    <comment ref="C15" authorId="1">
      <text>
        <r>
          <rPr>
            <sz val="9"/>
            <rFont val="宋体"/>
            <charset val="134"/>
          </rPr>
          <t>必填项，填总预计方数，不填无法正常上传订单信息</t>
        </r>
      </text>
    </comment>
    <comment ref="A17" authorId="2">
      <text>
        <r>
          <rPr>
            <b/>
            <sz val="12"/>
            <rFont val="宋体"/>
            <charset val="134"/>
          </rPr>
          <t xml:space="preserve">
填外箱的FBA子单号（必须是19位）
按箱填写！
一箱货有多个产品，箱号重复填写即可
非亚马逊地址本身没箱号的 ，可以直接写箱号，如1，2，3……
不允许合并！！！不允许有回车！！</t>
        </r>
      </text>
    </comment>
    <comment ref="B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8位数的追踪编码</t>
        </r>
      </text>
    </comment>
    <comment ref="D17" authorId="2">
      <text>
        <r>
          <rPr>
            <sz val="9"/>
            <rFont val="宋体"/>
            <charset val="134"/>
          </rPr>
          <t>货物描述，相对精准的描述。</t>
        </r>
      </text>
    </comment>
    <comment ref="H17" authorId="0">
      <text>
        <r>
          <rPr>
            <b/>
            <sz val="11"/>
            <rFont val="宋体"/>
            <charset val="134"/>
          </rPr>
          <t>Administrator:
产品大类：带电,带磁,纺织品等,普货直接输入普货两个字即可
注意:多个类型注意用英文逗号隔开</t>
        </r>
        <r>
          <rPr>
            <sz val="9"/>
            <rFont val="宋体"/>
            <charset val="134"/>
          </rPr>
          <t xml:space="preserve">
</t>
        </r>
      </text>
    </comment>
    <comment ref="I17" authorId="0">
      <text>
        <r>
          <rPr>
            <b/>
            <sz val="12"/>
            <rFont val="宋体"/>
            <charset val="134"/>
          </rPr>
          <t>Administrator:</t>
        </r>
        <r>
          <rPr>
            <sz val="12"/>
            <rFont val="宋体"/>
            <charset val="134"/>
          </rPr>
          <t xml:space="preserve">
切记！一定是单箱的产品数量！！！！！！
不管任何情况下，这里都是填写单箱的产品数量！</t>
        </r>
      </text>
    </comment>
    <comment ref="J17" authorId="2">
      <text>
        <r>
          <rPr>
            <sz val="16"/>
            <rFont val="宋体"/>
            <charset val="134"/>
          </rPr>
          <t xml:space="preserve">
填货物的单位CTN，即货物的箱数
有多少箱就填多少箱，如果是混装产品对应箱数都写1
不得合并单元格！
</t>
        </r>
      </text>
    </comment>
    <comment ref="K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 xml:space="preserve">
英国空运/海运/铁路（英镑），
德国（欧元），
美国（美金）</t>
        </r>
        <r>
          <rPr>
            <sz val="9"/>
            <rFont val="宋体"/>
            <charset val="134"/>
          </rPr>
          <t xml:space="preserve">
</t>
        </r>
      </text>
    </comment>
    <comment ref="L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必填</t>
        </r>
      </text>
    </comment>
    <comment ref="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必须填写纯数字 不得有其他字符</t>
        </r>
      </text>
    </comment>
    <comment ref="N17" authorId="3">
      <text>
        <r>
          <rPr>
            <sz val="9"/>
            <rFont val="宋体"/>
            <charset val="134"/>
          </rPr>
          <t>货物的高清图片</t>
        </r>
      </text>
    </comment>
    <comment ref="R17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 xml:space="preserve">
【必填】报价表上有要求提供销售链接的渠道</t>
        </r>
      </text>
    </comment>
    <comment ref="S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更多其他需要说明的问题 
</t>
        </r>
      </text>
    </comment>
    <comment ref="A18" authorId="0">
      <text>
        <r>
          <rPr>
            <sz val="10"/>
            <rFont val="宋体"/>
            <charset val="134"/>
          </rPr>
          <t>混装 箱号一样即可
注意：箱号之间连续用“ ~ ”，不能用“ - ”</t>
        </r>
      </text>
    </comment>
  </commentList>
</comments>
</file>

<file path=xl/sharedStrings.xml><?xml version="1.0" encoding="utf-8"?>
<sst xmlns="http://schemas.openxmlformats.org/spreadsheetml/2006/main" count="7228" uniqueCount="2295">
  <si>
    <t>客户原单号：（必填）</t>
  </si>
  <si>
    <t>FBA编号</t>
  </si>
  <si>
    <r>
      <rPr>
        <sz val="12"/>
        <color rgb="FF000000"/>
        <rFont val="微软雅黑"/>
        <charset val="134"/>
      </rPr>
      <t>FBA号：</t>
    </r>
    <r>
      <rPr>
        <sz val="12"/>
        <color rgb="FFFF0000"/>
        <rFont val="微软雅黑"/>
        <charset val="134"/>
      </rPr>
      <t>（填写FBA主单号 12位</t>
    </r>
    <r>
      <rPr>
        <sz val="12"/>
        <color rgb="FF000000"/>
        <rFont val="微软雅黑"/>
        <charset val="134"/>
      </rPr>
      <t>）</t>
    </r>
  </si>
  <si>
    <t>导入模板版本号:</t>
  </si>
  <si>
    <t>务必填写规范：(只做内容填充，不允许调整格式，不允许合并单元格，填写内容不允许有空格。)</t>
  </si>
  <si>
    <t>交货仓库：（必填）</t>
  </si>
  <si>
    <t>东莞清溪仓</t>
  </si>
  <si>
    <t>是否购买保险 （必填）：</t>
  </si>
  <si>
    <t>否</t>
  </si>
  <si>
    <t>注意：表格中蓝色内容为必填项，黄色内容为选填项      
备注：1，成套的产品需注明单套包含的件数以及品名；      
2，垫子类、纸盒支架类需提供规格（如尺寸和高度），请填写到C12栏备注下      
3，图片请提供高清的（再缩放到单元格）；      
4、申报币种必须匹配：英国空运/海运/铁路（英镑），德国（欧元），美国（美金）--也可参考表格2      
5、一箱货有多个产品，箱号重复填写即可      
6、备注栏：C12栏备注下单特殊需求，例如备注和哪票货合并清关；U17栏备注产品信息，例如部分产品单独报关</t>
  </si>
  <si>
    <t>填写范本 请参考</t>
  </si>
  <si>
    <t>交货客户代号：（必填）</t>
  </si>
  <si>
    <t>清关方式（必填）：</t>
  </si>
  <si>
    <t>包税</t>
  </si>
  <si>
    <t>走货线路：（必填）</t>
  </si>
  <si>
    <t>美西组合-普舱（包税）</t>
  </si>
  <si>
    <t>发件人公司（选填）：</t>
  </si>
  <si>
    <t>YTAD COMMERCE LOGISTICS .LTD</t>
  </si>
  <si>
    <t>报关方式：（必填）</t>
  </si>
  <si>
    <t>无单证</t>
  </si>
  <si>
    <t>发件人地址（选填）：</t>
  </si>
  <si>
    <t>No.1 Hongde Road, Huarong Community, Dalang Street, Longhua District, Shenzhen City, Guangdong Province</t>
  </si>
  <si>
    <t>目的地仓库/国家：（必填）</t>
  </si>
  <si>
    <t>ONT8</t>
  </si>
  <si>
    <t>VAT和EORI注册公司名（选填）：</t>
  </si>
  <si>
    <t xml:space="preserve">YTAD </t>
  </si>
  <si>
    <t>地址类型*（必填）</t>
  </si>
  <si>
    <t>亚马逊地址</t>
  </si>
  <si>
    <t>VAT和EORI注册地址（选填）：</t>
  </si>
  <si>
    <t>收货地址名称/亚马逊仓库代码*</t>
  </si>
  <si>
    <t>VAT号（选填）：*</t>
  </si>
  <si>
    <t>收件公司（选填）：</t>
  </si>
  <si>
    <t>EORI号（选填）：*</t>
  </si>
  <si>
    <t>收件人（选填） ：</t>
  </si>
  <si>
    <t>VAT公司联系人（选填）：</t>
  </si>
  <si>
    <t>YTAD</t>
  </si>
  <si>
    <t>联系电话 （选填）：</t>
  </si>
  <si>
    <t>VAT公司电话（选填）：</t>
  </si>
  <si>
    <t>123456789</t>
  </si>
  <si>
    <t>收件邮编：（必填）</t>
  </si>
  <si>
    <t>备注：</t>
  </si>
  <si>
    <t>可以备注预计几号送仓等；如有合并清关或者合并报关，需要明确哪几票合并</t>
  </si>
  <si>
    <t>省份/州（选填）：</t>
  </si>
  <si>
    <t>收件人邮箱（填写要求请看批注！）</t>
  </si>
  <si>
    <t>szlbc@ytad-logistics.com</t>
  </si>
  <si>
    <t>请看批注！部分走货渠道必填！</t>
  </si>
  <si>
    <t>城市（选填）：</t>
  </si>
  <si>
    <t>自营海外仓库</t>
  </si>
  <si>
    <t>收件地址：（选填）</t>
  </si>
  <si>
    <t>预计方数：（必填）</t>
  </si>
  <si>
    <t>总件数（必填）</t>
  </si>
  <si>
    <t>不得删除！</t>
  </si>
  <si>
    <t>亚马逊FBA子单号/箱唛号
（必填）（FBA号正确19位）（符号请只用～）</t>
  </si>
  <si>
    <t>Reference ID（亚马逊追踪编码）</t>
  </si>
  <si>
    <t>中文品名（必填）</t>
  </si>
  <si>
    <t>英文品名（必填）</t>
  </si>
  <si>
    <t>材质（中英文填写）（必填）</t>
  </si>
  <si>
    <t>用途（中英文填写）（必填）</t>
  </si>
  <si>
    <t>国外海关编码（必填）</t>
  </si>
  <si>
    <t>产品类型/属性</t>
  </si>
  <si>
    <r>
      <rPr>
        <sz val="16"/>
        <rFont val="微软雅黑"/>
        <charset val="134"/>
      </rPr>
      <t>单箱</t>
    </r>
    <r>
      <rPr>
        <b/>
        <sz val="11"/>
        <color rgb="FF000000"/>
        <rFont val="微软雅黑"/>
        <charset val="134"/>
      </rPr>
      <t>产品数量PCS（必填）</t>
    </r>
  </si>
  <si>
    <t>箱数/件数CTN（必填）</t>
  </si>
  <si>
    <t>申报单价币种（必填）</t>
  </si>
  <si>
    <t>单个产品申报单价</t>
  </si>
  <si>
    <t>单个产品净重KG(必填)</t>
  </si>
  <si>
    <r>
      <rPr>
        <b/>
        <sz val="11"/>
        <color rgb="FF000000"/>
        <rFont val="微软雅黑"/>
        <charset val="134"/>
      </rPr>
      <t>产品高清图片                       （</t>
    </r>
    <r>
      <rPr>
        <sz val="11"/>
        <color rgb="FFFF0000"/>
        <rFont val="微软雅黑"/>
        <charset val="134"/>
      </rPr>
      <t>必须缩在方框内</t>
    </r>
    <r>
      <rPr>
        <sz val="11"/>
        <color rgb="FF000000"/>
        <rFont val="微软雅黑"/>
        <charset val="134"/>
      </rPr>
      <t>）</t>
    </r>
  </si>
  <si>
    <r>
      <rPr>
        <b/>
        <sz val="11"/>
        <color rgb="FF000000"/>
        <rFont val="微软雅黑"/>
        <charset val="134"/>
      </rPr>
      <t xml:space="preserve">品牌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</si>
  <si>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品牌类型  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</si>
  <si>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型号 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</si>
  <si>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销售链接                                         </t>
    </r>
    <r>
      <rPr>
        <b/>
        <sz val="11"/>
        <color rgb="FFFF0000"/>
        <rFont val="微软雅黑"/>
        <charset val="134"/>
      </rPr>
      <t>（填写链接的前后不能有空格）</t>
    </r>
  </si>
  <si>
    <r>
      <rPr>
        <b/>
        <sz val="11"/>
        <color rgb="FF000000"/>
        <rFont val="微软雅黑"/>
        <charset val="134"/>
      </rPr>
      <t>备注</t>
    </r>
    <r>
      <rPr>
        <b/>
        <sz val="11"/>
        <color rgb="FFFF0000"/>
        <rFont val="微软雅黑"/>
        <charset val="134"/>
      </rPr>
      <t>（产品的其他特殊说明）</t>
    </r>
  </si>
  <si>
    <t xml:space="preserve">总产品数量            </t>
  </si>
  <si>
    <t xml:space="preserve">总申报金额            </t>
  </si>
  <si>
    <t>SKUNO</t>
  </si>
  <si>
    <t>实重</t>
  </si>
  <si>
    <t>长</t>
  </si>
  <si>
    <t>宽</t>
  </si>
  <si>
    <t>高</t>
  </si>
  <si>
    <t>FBA15J1PVNLGU000001~5</t>
  </si>
  <si>
    <t>1CPOVZPD</t>
  </si>
  <si>
    <t>塑料盒</t>
  </si>
  <si>
    <t>plstic box</t>
  </si>
  <si>
    <t>塑料(Plastic)</t>
  </si>
  <si>
    <t>daily use</t>
  </si>
  <si>
    <t>普货</t>
  </si>
  <si>
    <t>美金</t>
  </si>
  <si>
    <t>无</t>
  </si>
  <si>
    <t>B19928-002</t>
  </si>
  <si>
    <t>11</t>
  </si>
  <si>
    <t>22</t>
  </si>
  <si>
    <t>33</t>
  </si>
  <si>
    <t>44</t>
  </si>
  <si>
    <t>走货渠道</t>
  </si>
  <si>
    <t>申报币种</t>
  </si>
  <si>
    <t>OA奥克兰组合（包税）</t>
  </si>
  <si>
    <t>USD</t>
  </si>
  <si>
    <t>OA奥克兰组合（不包税）</t>
  </si>
  <si>
    <t>OA美西组合（AF+）</t>
  </si>
  <si>
    <t>OA美西组合（包税）</t>
  </si>
  <si>
    <t>OA美西组合（不包税）</t>
  </si>
  <si>
    <t>盐田快船美西海派（OA）</t>
  </si>
  <si>
    <t>OA海外仓大货中转（不包税）</t>
  </si>
  <si>
    <t>OA海外仓大货中转（包税）</t>
  </si>
  <si>
    <t>OA海外仓大货中转（AF+）</t>
  </si>
  <si>
    <t>OA普船海外仓头程自提（AF+）</t>
  </si>
  <si>
    <t>OA普船海外仓头程自提（包税）</t>
  </si>
  <si>
    <t>以星海外仓头程自提（不包税）</t>
  </si>
  <si>
    <t>OA普船海外仓头程自提（不包税）</t>
  </si>
  <si>
    <t>以星海外仓大货中转（包税）</t>
  </si>
  <si>
    <t>以星海外仓头程自提（AF+）</t>
  </si>
  <si>
    <t>以星海外仓头程自提（包税）</t>
  </si>
  <si>
    <t>以星海外仓大货中转（不包税）</t>
  </si>
  <si>
    <t>以星海外仓大货中转（AF+）</t>
  </si>
  <si>
    <t>美森海外仓头程自提（不包税）</t>
  </si>
  <si>
    <t>美森海外仓大货中转（AF+）</t>
  </si>
  <si>
    <t>美森海外仓头程自提（包税）</t>
  </si>
  <si>
    <t>美森海外仓头程自提（AF+）</t>
  </si>
  <si>
    <t>美森海外仓大货中转（不包税）</t>
  </si>
  <si>
    <t>美森海外仓大货中转（包税）</t>
  </si>
  <si>
    <t>OA美西卡派（包税）</t>
  </si>
  <si>
    <t>OA美西卡派（不包税）</t>
  </si>
  <si>
    <t>OA美西直送（AF+）</t>
  </si>
  <si>
    <t>OA美西直送（包税）</t>
  </si>
  <si>
    <t>OA美西直送（不包税）</t>
  </si>
  <si>
    <t>OA纽约直送（AF+）</t>
  </si>
  <si>
    <t>OA纽约直送（包税）</t>
  </si>
  <si>
    <t>OA纽约直送（不包税）</t>
  </si>
  <si>
    <t>OA纽约卡派（AF+）</t>
  </si>
  <si>
    <t>OA纽约卡派（包税）</t>
  </si>
  <si>
    <t>OA纽约卡派（不包税）</t>
  </si>
  <si>
    <t>OA纽约自提（包税）</t>
  </si>
  <si>
    <t>OA纽约组合（AF+）</t>
  </si>
  <si>
    <t>OA奥克兰组合（AF+）</t>
  </si>
  <si>
    <t>OA纽约组合（包税）</t>
  </si>
  <si>
    <t>OA纽约组合（不包税）</t>
  </si>
  <si>
    <t>美西组合-普舱（AF+）</t>
  </si>
  <si>
    <t>美西组合-普舱（不包税）</t>
  </si>
  <si>
    <t>美西卡派-普舱（包税）</t>
  </si>
  <si>
    <t>美西卡派-普舱（不包税）</t>
  </si>
  <si>
    <t>美西直送-普舱（AF+）</t>
  </si>
  <si>
    <t>美西直送-普舱（包税）</t>
  </si>
  <si>
    <t>美西直送-普舱（不包税）</t>
  </si>
  <si>
    <t>OA萨凡纳组合（AF+）</t>
  </si>
  <si>
    <t>OA萨凡纳组合（包税）</t>
  </si>
  <si>
    <t>OA萨凡纳组合（不包税）</t>
  </si>
  <si>
    <t>OA普船一件代发美西卡派（AF+）</t>
  </si>
  <si>
    <t>OA普船一件代发美西卡派（包税）</t>
  </si>
  <si>
    <t>OA普船一件代发美西卡派（不包税）</t>
  </si>
  <si>
    <t>OA普船一件代发纽约仓卡派（AF+）</t>
  </si>
  <si>
    <t>OA普船一件代发纽约仓卡派（包税）</t>
  </si>
  <si>
    <t>OA普船一件代发纽约仓卡派（不包税）</t>
  </si>
  <si>
    <t>以星限时达海派（ZIM/HEDE）</t>
  </si>
  <si>
    <t>以星ZIM/HEDE限时达卡派（AF+）</t>
  </si>
  <si>
    <t>以星ZIM/HEDE限时达卡派（包税）</t>
  </si>
  <si>
    <t>以星ZIM/HEDE限时达卡派（不包税）</t>
  </si>
  <si>
    <t>OA美西-美中组合（AF+）</t>
  </si>
  <si>
    <t>OA美西-美中组合（包税）</t>
  </si>
  <si>
    <t>OA美西-美中组合（不包税）</t>
  </si>
  <si>
    <t>OA美西-美东组合（AF+）</t>
  </si>
  <si>
    <t>OA美西-美东组合（包税）</t>
  </si>
  <si>
    <t>OA美西-美东组合（不包税）</t>
  </si>
  <si>
    <t>美森CLX限时达卡派（AF+）</t>
  </si>
  <si>
    <t>美森CLX限时达卡派（包税）</t>
  </si>
  <si>
    <t>美森CLX限时达卡派（不包税）</t>
  </si>
  <si>
    <t>美森限时达海派（CLX）</t>
  </si>
  <si>
    <t>OA普船一件代发芝加哥卡派（AF+）</t>
  </si>
  <si>
    <t>OA普船一件代发芝加哥卡派（包税）</t>
  </si>
  <si>
    <t>OA普船一件代发芝加哥卡派（不包税）</t>
  </si>
  <si>
    <t>OA美西卡派（AF+）</t>
  </si>
  <si>
    <t>美西卡派-普舱（AF+）</t>
  </si>
  <si>
    <t>普船整柜直送（包税）</t>
  </si>
  <si>
    <t>普船整柜直送（不包税）</t>
  </si>
  <si>
    <t>西雅图组合（包税）</t>
  </si>
  <si>
    <t>西雅图组合（不包税）</t>
  </si>
  <si>
    <t>西雅图组合（AF+）</t>
  </si>
  <si>
    <t>OA芝加哥卡派（包税）</t>
  </si>
  <si>
    <t>OA芝加哥卡派（不包税）</t>
  </si>
  <si>
    <t>OA芝加哥卡派（AF+）</t>
  </si>
  <si>
    <t>加拿大海卡不包税</t>
  </si>
  <si>
    <t>加拿大限时达UPS包税-美森</t>
  </si>
  <si>
    <t>加拿大限时达卡车包税-美森</t>
  </si>
  <si>
    <t>加拿大限时达UPS包税-普船</t>
  </si>
  <si>
    <t>加拿大限时达卡车包税-普船</t>
  </si>
  <si>
    <t>加拿大红单/5000（包税）</t>
  </si>
  <si>
    <t>美国HKUPS红单/5000</t>
  </si>
  <si>
    <t>香港UPS红单(美国)小货/5000</t>
  </si>
  <si>
    <t>美国HKDHL/5000</t>
  </si>
  <si>
    <t>美国空派包税-普货</t>
  </si>
  <si>
    <t>美国空派包税-带电</t>
  </si>
  <si>
    <t>英国PVA海派</t>
  </si>
  <si>
    <t>英镑</t>
  </si>
  <si>
    <t>英国PVA海卡</t>
  </si>
  <si>
    <t>英国海卡包税</t>
  </si>
  <si>
    <t>英国海派包税</t>
  </si>
  <si>
    <t>英国PVA空派-普货</t>
  </si>
  <si>
    <t>英国PVA空派-带电</t>
  </si>
  <si>
    <t>英国空派包税-普货</t>
  </si>
  <si>
    <t>英国空派包税-带电</t>
  </si>
  <si>
    <t>英国铁路包税</t>
  </si>
  <si>
    <t>英国铁路包税-直送</t>
  </si>
  <si>
    <t>英国铁路递延</t>
  </si>
  <si>
    <t>英国铁路递延卡派</t>
  </si>
  <si>
    <t>中欧卡航包税-DPD</t>
  </si>
  <si>
    <t>欧元</t>
  </si>
  <si>
    <t>中欧卡航递延不包税</t>
  </si>
  <si>
    <t>英国卡航（包税）</t>
  </si>
  <si>
    <t>英国卡航PVA</t>
  </si>
  <si>
    <t>中欧铁路包税</t>
  </si>
  <si>
    <t>中欧铁路递延</t>
  </si>
  <si>
    <t>中欧铁路卡派包税</t>
  </si>
  <si>
    <t>中欧海运快线</t>
  </si>
  <si>
    <t>中欧海运比利时递延卡派</t>
  </si>
  <si>
    <t>中欧海运比利时递延快递派</t>
  </si>
  <si>
    <t>欧洲VAT递延空运-普货</t>
  </si>
  <si>
    <t>欧洲VAT递延空运-带电</t>
  </si>
  <si>
    <t>欧洲空派包税（普货）</t>
  </si>
  <si>
    <t>欧洲空派包税（带电）</t>
  </si>
  <si>
    <t>澳洲亚马逊仓库海卡(含税)</t>
  </si>
  <si>
    <t>澳币</t>
  </si>
  <si>
    <t>澳洲私人地址海卡含税（DDP）</t>
  </si>
  <si>
    <t>日本海卡专线（贴标包逆算）</t>
  </si>
  <si>
    <t>日元</t>
  </si>
  <si>
    <t>日本快船（贴标包逆算）</t>
  </si>
  <si>
    <t>中欧海运专仓直送</t>
  </si>
  <si>
    <t>加拿大海卡快线-包税</t>
  </si>
  <si>
    <t>英国PVA海卡（KG计费）</t>
  </si>
  <si>
    <t>英国海卡包税（KG计费）</t>
  </si>
  <si>
    <t>中欧铁路递延卡派直送</t>
  </si>
  <si>
    <t>收货地址名称</t>
  </si>
  <si>
    <t>收货公司名称</t>
  </si>
  <si>
    <t>寄件/收件人地址</t>
  </si>
  <si>
    <t>地址分类</t>
  </si>
  <si>
    <t>手机</t>
  </si>
  <si>
    <t>联系人</t>
  </si>
  <si>
    <t>电话</t>
  </si>
  <si>
    <t>目的地</t>
  </si>
  <si>
    <t>目的地名称</t>
  </si>
  <si>
    <t>省份/州</t>
  </si>
  <si>
    <t>省份中文名</t>
  </si>
  <si>
    <t>城市</t>
  </si>
  <si>
    <t>城市中文名</t>
  </si>
  <si>
    <t>地址1</t>
  </si>
  <si>
    <t>地址2</t>
  </si>
  <si>
    <t>地址3</t>
  </si>
  <si>
    <t>邮编</t>
  </si>
  <si>
    <t>邮箱</t>
  </si>
  <si>
    <t>客户代号</t>
  </si>
  <si>
    <t>客户名称</t>
  </si>
  <si>
    <t>备注</t>
  </si>
  <si>
    <t>制单人</t>
  </si>
  <si>
    <t>修改时间</t>
  </si>
  <si>
    <t>区域</t>
  </si>
  <si>
    <t>货架</t>
  </si>
  <si>
    <t>储位</t>
  </si>
  <si>
    <t>快递类型</t>
  </si>
  <si>
    <t>制单时间</t>
  </si>
  <si>
    <t>修改人</t>
  </si>
  <si>
    <t>沃尔玛ATL1</t>
  </si>
  <si>
    <t>Walmart</t>
  </si>
  <si>
    <t>收件人地址</t>
  </si>
  <si>
    <t>沃尔玛地址</t>
  </si>
  <si>
    <t>8888888888</t>
  </si>
  <si>
    <t>859</t>
  </si>
  <si>
    <t>GA</t>
  </si>
  <si>
    <t>乔治亚州</t>
  </si>
  <si>
    <t>Atlanta</t>
  </si>
  <si>
    <t>6055 S Fulton Pkwy
Atlanta, GA,30349</t>
  </si>
  <si>
    <t>30349</t>
  </si>
  <si>
    <t>美国</t>
  </si>
  <si>
    <t>邱丹丹</t>
  </si>
  <si>
    <t>谢小辉</t>
  </si>
  <si>
    <t>沃尔玛ATL2n</t>
  </si>
  <si>
    <t>860</t>
  </si>
  <si>
    <t>Carrollton</t>
  </si>
  <si>
    <t>3101 N. Highway 27, Carrollton, GA 30117, US</t>
  </si>
  <si>
    <t>30117</t>
  </si>
  <si>
    <t>沃尔玛ATL3</t>
  </si>
  <si>
    <t>861</t>
  </si>
  <si>
    <t>Pendergrass</t>
  </si>
  <si>
    <t>445 Valentine Industrial Parkway,
Pendergrass, GA, 30567</t>
  </si>
  <si>
    <t>30567</t>
  </si>
  <si>
    <t>沃尔玛BNA1s</t>
  </si>
  <si>
    <t>862</t>
  </si>
  <si>
    <t>TN</t>
  </si>
  <si>
    <t>田纳西州</t>
  </si>
  <si>
    <t>Lebanon</t>
  </si>
  <si>
    <t>BNA1s | 1015 Hixson Blvd, Lebanon, TN 37090, US</t>
  </si>
  <si>
    <t>37090</t>
  </si>
  <si>
    <t>沃尔玛CVG1n</t>
  </si>
  <si>
    <t>863</t>
  </si>
  <si>
    <t>OH</t>
  </si>
  <si>
    <t>俄亥俄州</t>
  </si>
  <si>
    <t>Monroe</t>
  </si>
  <si>
    <t>650 Gateway Blvd, Monroe, OH 45050</t>
  </si>
  <si>
    <t>45050</t>
  </si>
  <si>
    <t>沃尔玛DFW5s</t>
  </si>
  <si>
    <t>864</t>
  </si>
  <si>
    <t>TX</t>
  </si>
  <si>
    <t>德克萨斯州</t>
  </si>
  <si>
    <t>Lancaster</t>
  </si>
  <si>
    <t>2500 E Belt Line Rd, Lancaster, TX, 75146</t>
  </si>
  <si>
    <t>75146</t>
  </si>
  <si>
    <t>沃尔玛IND1</t>
  </si>
  <si>
    <t>865</t>
  </si>
  <si>
    <t>IN</t>
  </si>
  <si>
    <t>印地安那州</t>
  </si>
  <si>
    <t>Avon</t>
  </si>
  <si>
    <t>9590 ALLPoints Pkwy,Avon,IN 46123</t>
  </si>
  <si>
    <t>46123</t>
  </si>
  <si>
    <t>沃尔玛IND2</t>
  </si>
  <si>
    <t>866</t>
  </si>
  <si>
    <t>9360 ALLPoints Pkwy,Avon, IN 46123</t>
  </si>
  <si>
    <t>沃尔玛IND2n</t>
  </si>
  <si>
    <t>867</t>
  </si>
  <si>
    <t>Plainfield</t>
  </si>
  <si>
    <t>IND2n 9360 Allpoints Pkwy, Plainfield, IN, 46168</t>
  </si>
  <si>
    <t>46168</t>
  </si>
  <si>
    <t>沃尔玛IND3</t>
  </si>
  <si>
    <t>868</t>
  </si>
  <si>
    <t>Mccordsville</t>
  </si>
  <si>
    <t>5756 Enterprise Dr, Mccordsville, IN 46055, US</t>
  </si>
  <si>
    <t>46055</t>
  </si>
  <si>
    <t>沃尔玛KS1</t>
  </si>
  <si>
    <t>869</t>
  </si>
  <si>
    <t>KS</t>
  </si>
  <si>
    <t>堪萨斯州</t>
  </si>
  <si>
    <t>Edgerton</t>
  </si>
  <si>
    <t>30801 West 191st Street,Edgerton，KS 66021</t>
  </si>
  <si>
    <t>66021</t>
  </si>
  <si>
    <t>沃尔玛KY1</t>
  </si>
  <si>
    <t>870</t>
  </si>
  <si>
    <t>KY</t>
  </si>
  <si>
    <t>肯塔基州</t>
  </si>
  <si>
    <t>Shepherdsville</t>
  </si>
  <si>
    <t>KY1 | 120 Velocity Way., Shepherdsville, KY 40165, US</t>
  </si>
  <si>
    <t>40165</t>
  </si>
  <si>
    <t>沃尔玛LAX1</t>
  </si>
  <si>
    <t>871</t>
  </si>
  <si>
    <t>CA</t>
  </si>
  <si>
    <t>加利福尼亚州</t>
  </si>
  <si>
    <t>Chino</t>
  </si>
  <si>
    <t>6750 Kimball Ave, Chino, CA 91708</t>
  </si>
  <si>
    <t>91708</t>
  </si>
  <si>
    <t>沃尔玛MCI1N</t>
  </si>
  <si>
    <t>872</t>
  </si>
  <si>
    <t>Topeka</t>
  </si>
  <si>
    <t>1303 Sw Innovation Pkway
Topeka, KS 66619</t>
  </si>
  <si>
    <t>66619</t>
  </si>
  <si>
    <t>沃尔玛MCO1</t>
  </si>
  <si>
    <t>873</t>
  </si>
  <si>
    <t>FL</t>
  </si>
  <si>
    <t>佛罗里达州</t>
  </si>
  <si>
    <t>Davenport</t>
  </si>
  <si>
    <t>5100 N RIDGE TR,Davenport,FL 33897</t>
  </si>
  <si>
    <t>33897</t>
  </si>
  <si>
    <t>沃尔玛MEM1s</t>
  </si>
  <si>
    <t>874</t>
  </si>
  <si>
    <t>MS</t>
  </si>
  <si>
    <t>密西西比州</t>
  </si>
  <si>
    <t>OLIVE BRANCH</t>
  </si>
  <si>
    <t>10480 MARINA DRIVE
OLIVE BRANCH MS, 38654</t>
  </si>
  <si>
    <t>38654</t>
  </si>
  <si>
    <t>沃尔玛NJ3</t>
  </si>
  <si>
    <t>875</t>
  </si>
  <si>
    <t>NJ</t>
  </si>
  <si>
    <t>新泽西州</t>
  </si>
  <si>
    <t>Pedricktown</t>
  </si>
  <si>
    <t>3 Sorbello Way, Pedricktown, NJ 08067</t>
  </si>
  <si>
    <t>08067</t>
  </si>
  <si>
    <t>沃尔玛PHL1</t>
  </si>
  <si>
    <t>876</t>
  </si>
  <si>
    <t>DE</t>
  </si>
  <si>
    <t>特拉华州</t>
  </si>
  <si>
    <t>New Castle</t>
  </si>
  <si>
    <t>1 Centerpoint Blvd, New Castle, DE 19720</t>
  </si>
  <si>
    <t>19720</t>
  </si>
  <si>
    <t>沃尔玛PHL2</t>
  </si>
  <si>
    <t>877</t>
  </si>
  <si>
    <t>PA</t>
  </si>
  <si>
    <t>宾夕法尼亚州</t>
  </si>
  <si>
    <t>Bethlehem</t>
  </si>
  <si>
    <t>3926 Linden St Bethlehem, PA 18020</t>
  </si>
  <si>
    <t>18020</t>
  </si>
  <si>
    <t>沃尔玛PHL4N</t>
  </si>
  <si>
    <t>878</t>
  </si>
  <si>
    <t>SHIPPENSBURG</t>
  </si>
  <si>
    <t>PHL4N 1410 UNITED DR,SHIPPENSBURG, PA, 17257</t>
  </si>
  <si>
    <t>17257</t>
  </si>
  <si>
    <t>QXY8</t>
  </si>
  <si>
    <t>Amazon</t>
  </si>
  <si>
    <t>Fresno</t>
  </si>
  <si>
    <t>3611 S Northpointe Dr, Fresno, CA 93725</t>
  </si>
  <si>
    <t>IUTI</t>
  </si>
  <si>
    <t>REDLANDS</t>
  </si>
  <si>
    <t>1901 California St 92374-5015 - REDLANDS, CA</t>
  </si>
  <si>
    <t>IUTH</t>
  </si>
  <si>
    <t>MARCOS</t>
  </si>
  <si>
    <t>1346 Fortuna Rd SAN MARCOS TX</t>
  </si>
  <si>
    <t>XAV3</t>
  </si>
  <si>
    <t>Wentworth</t>
  </si>
  <si>
    <t>120 Crossgate Dr 31407- Port Wentworth,GA- United States</t>
  </si>
  <si>
    <t>IUSR</t>
  </si>
  <si>
    <t>SC</t>
  </si>
  <si>
    <t>南卡罗来纳</t>
  </si>
  <si>
    <t>Cowpens</t>
  </si>
  <si>
    <t>1120 Mt Olive Rd 29330 COWPENSSC United States</t>
  </si>
  <si>
    <t>DEN8</t>
  </si>
  <si>
    <t>CO</t>
  </si>
  <si>
    <t>科罗拉多州</t>
  </si>
  <si>
    <t>AURORA</t>
  </si>
  <si>
    <t>21000 E 13th Ave</t>
  </si>
  <si>
    <t>POC2</t>
  </si>
  <si>
    <t>Ontario</t>
  </si>
  <si>
    <t>4000 Hamner Ave, Ontario, CA 91761</t>
  </si>
  <si>
    <t>TCY2</t>
  </si>
  <si>
    <t>STOCKTON</t>
  </si>
  <si>
    <t>6201 Newcastle Rd 95215-STOCKTON,CA-United States</t>
  </si>
  <si>
    <t>TCY1</t>
  </si>
  <si>
    <t>Stockton</t>
  </si>
  <si>
    <t xml:space="preserve">2690 Arch Airport Rd, Stockton
</t>
  </si>
  <si>
    <t>GEU3</t>
  </si>
  <si>
    <t>928</t>
  </si>
  <si>
    <t>AZ</t>
  </si>
  <si>
    <t>亚利桑那州</t>
  </si>
  <si>
    <t>BUCKEYE</t>
  </si>
  <si>
    <t>18900 W McDowell Road</t>
  </si>
  <si>
    <t>IUSP</t>
  </si>
  <si>
    <t>905</t>
  </si>
  <si>
    <t>HESPERIA,</t>
  </si>
  <si>
    <t>8140 Caliente Rd 92344</t>
  </si>
  <si>
    <t>92344</t>
  </si>
  <si>
    <t>RIC2</t>
  </si>
  <si>
    <t>613</t>
  </si>
  <si>
    <t>VA</t>
  </si>
  <si>
    <t>弗吉尼亚州</t>
  </si>
  <si>
    <t>Chester</t>
  </si>
  <si>
    <t>1901 Meadowville Technology Pkwy</t>
  </si>
  <si>
    <t>23836</t>
  </si>
  <si>
    <t>PDX6</t>
  </si>
  <si>
    <t>640</t>
  </si>
  <si>
    <t>OR</t>
  </si>
  <si>
    <t>俄勒冈州</t>
  </si>
  <si>
    <t>Portland</t>
  </si>
  <si>
    <t>15000 N. Lombard St</t>
  </si>
  <si>
    <t>97203</t>
  </si>
  <si>
    <t>CMH4</t>
  </si>
  <si>
    <t>665</t>
  </si>
  <si>
    <t>WEST JEFFERSON</t>
  </si>
  <si>
    <t>1550 W. Main Street</t>
  </si>
  <si>
    <t>43162</t>
  </si>
  <si>
    <t>BNA2</t>
  </si>
  <si>
    <t>693</t>
  </si>
  <si>
    <t>LEBANON</t>
  </si>
  <si>
    <t>500 Duke DR</t>
  </si>
  <si>
    <t>LAL1</t>
  </si>
  <si>
    <t>721</t>
  </si>
  <si>
    <t>Lakeland</t>
  </si>
  <si>
    <t>1760 County Line Rd.</t>
  </si>
  <si>
    <t>33811</t>
  </si>
  <si>
    <t>AVP1</t>
  </si>
  <si>
    <t>274</t>
  </si>
  <si>
    <t>Hazle Township</t>
  </si>
  <si>
    <t>550 Oak Ridge Road</t>
  </si>
  <si>
    <t>18202</t>
  </si>
  <si>
    <t>GSP1</t>
  </si>
  <si>
    <t>768</t>
  </si>
  <si>
    <t>Spartanburg</t>
  </si>
  <si>
    <t>402 John Dodd Rd</t>
  </si>
  <si>
    <t>29303</t>
  </si>
  <si>
    <t>GYR1</t>
  </si>
  <si>
    <t>769</t>
  </si>
  <si>
    <t>GOODYEAR</t>
  </si>
  <si>
    <t>605 S BULLARD AVE</t>
  </si>
  <si>
    <t>85338</t>
  </si>
  <si>
    <t>GYR2</t>
  </si>
  <si>
    <t>592</t>
  </si>
  <si>
    <t>17341 W MINNEZONA AVE</t>
  </si>
  <si>
    <t>85395</t>
  </si>
  <si>
    <t>GYR3</t>
  </si>
  <si>
    <t>514</t>
  </si>
  <si>
    <t>PHOENIX</t>
  </si>
  <si>
    <t>8181 W ROOSEVELT ST</t>
  </si>
  <si>
    <t>85043</t>
  </si>
  <si>
    <t>HOU1</t>
  </si>
  <si>
    <t>770</t>
  </si>
  <si>
    <t>Humble</t>
  </si>
  <si>
    <t>8120 Humble Westfield Rd</t>
  </si>
  <si>
    <t>77338</t>
  </si>
  <si>
    <t>HOU2</t>
  </si>
  <si>
    <t>771</t>
  </si>
  <si>
    <t>Houston</t>
  </si>
  <si>
    <t>10550 Ella Blvd</t>
  </si>
  <si>
    <t>77038</t>
  </si>
  <si>
    <t>HOU3</t>
  </si>
  <si>
    <t>772</t>
  </si>
  <si>
    <t>Brookshire</t>
  </si>
  <si>
    <t>31555 Highway 90 E</t>
  </si>
  <si>
    <t>77423</t>
  </si>
  <si>
    <t>HOU7</t>
  </si>
  <si>
    <t>773</t>
  </si>
  <si>
    <t>AHOUSTON</t>
  </si>
  <si>
    <t>16225 TOMBALL PKWYBLDG</t>
  </si>
  <si>
    <t>77064-1111</t>
  </si>
  <si>
    <t>HOU8</t>
  </si>
  <si>
    <t>774</t>
  </si>
  <si>
    <t>FRESNO</t>
  </si>
  <si>
    <t>2303 Hurricane Lane</t>
  </si>
  <si>
    <t>77545</t>
  </si>
  <si>
    <t>HSV1</t>
  </si>
  <si>
    <t>775</t>
  </si>
  <si>
    <t>AL</t>
  </si>
  <si>
    <t>阿拉巴马州</t>
  </si>
  <si>
    <t>MADISON</t>
  </si>
  <si>
    <t>7817 Greenbrier Road</t>
  </si>
  <si>
    <t>35756</t>
  </si>
  <si>
    <t>HSV2</t>
  </si>
  <si>
    <t>776</t>
  </si>
  <si>
    <t>28869 Fanning Dr NW</t>
  </si>
  <si>
    <t>IAH3</t>
  </si>
  <si>
    <t>588</t>
  </si>
  <si>
    <t>HOUSTON</t>
  </si>
  <si>
    <t>15525 Milner Road</t>
  </si>
  <si>
    <t>77032</t>
  </si>
  <si>
    <t>ICT2</t>
  </si>
  <si>
    <t>777</t>
  </si>
  <si>
    <t>PARK CITY</t>
  </si>
  <si>
    <t>7130 N BROADWAY AVE</t>
  </si>
  <si>
    <t>67219</t>
  </si>
  <si>
    <t>IGQ2</t>
  </si>
  <si>
    <t>778</t>
  </si>
  <si>
    <t>IL</t>
  </si>
  <si>
    <t>伊利诺斯州</t>
  </si>
  <si>
    <t>University Park</t>
  </si>
  <si>
    <t>23257 S. Central Avenue</t>
  </si>
  <si>
    <t>60484</t>
  </si>
  <si>
    <t>ILG1</t>
  </si>
  <si>
    <t>779</t>
  </si>
  <si>
    <t>NEW CASTLE</t>
  </si>
  <si>
    <t>780 S. DuPont Highway</t>
  </si>
  <si>
    <t>IND1</t>
  </si>
  <si>
    <t>780</t>
  </si>
  <si>
    <t>Whitestown</t>
  </si>
  <si>
    <t>4255 Anson Blvd</t>
  </si>
  <si>
    <t>46075</t>
  </si>
  <si>
    <t>IND2</t>
  </si>
  <si>
    <t>268</t>
  </si>
  <si>
    <t>715 Airtech Pkwy</t>
  </si>
  <si>
    <t>IND3</t>
  </si>
  <si>
    <t>781</t>
  </si>
  <si>
    <t>715 AIRTECH PKWY SUITE 195</t>
  </si>
  <si>
    <t>IND3 WALMART</t>
  </si>
  <si>
    <t>782</t>
  </si>
  <si>
    <t>5756 Enterprise Dr</t>
  </si>
  <si>
    <t>IND4</t>
  </si>
  <si>
    <t>269</t>
  </si>
  <si>
    <t>Indianapolis</t>
  </si>
  <si>
    <t>710 South Girls School Road</t>
  </si>
  <si>
    <t>46231</t>
  </si>
  <si>
    <t>IND5</t>
  </si>
  <si>
    <t>270</t>
  </si>
  <si>
    <t>800 Perry Road</t>
  </si>
  <si>
    <t>IND6</t>
  </si>
  <si>
    <t>783</t>
  </si>
  <si>
    <t>Jeffersonville</t>
  </si>
  <si>
    <t>1453 E 10th St</t>
  </si>
  <si>
    <t>47130</t>
  </si>
  <si>
    <t>CMH6</t>
  </si>
  <si>
    <t>666</t>
  </si>
  <si>
    <t>LOCKBOURNE</t>
  </si>
  <si>
    <t>3538 TRADEPORT CT</t>
  </si>
  <si>
    <t>43137</t>
  </si>
  <si>
    <t>CMH7</t>
  </si>
  <si>
    <t>667</t>
  </si>
  <si>
    <t>NEW ALBANY</t>
  </si>
  <si>
    <t>1245 BEECH RD SW</t>
  </si>
  <si>
    <t>43054-7762</t>
  </si>
  <si>
    <t>CNH3</t>
  </si>
  <si>
    <t>668</t>
  </si>
  <si>
    <t>700 GATEWAY BLVD</t>
  </si>
  <si>
    <t>45050-1848</t>
  </si>
  <si>
    <t>CSG1</t>
  </si>
  <si>
    <t>669</t>
  </si>
  <si>
    <t>Moreland</t>
  </si>
  <si>
    <t>280 BRIDGEPORT BLVD</t>
  </si>
  <si>
    <t>30259</t>
  </si>
  <si>
    <t>CVG1</t>
  </si>
  <si>
    <t>670</t>
  </si>
  <si>
    <t>Hebron</t>
  </si>
  <si>
    <t>1155 Worldwide Blvd</t>
  </si>
  <si>
    <t>41048</t>
  </si>
  <si>
    <t>CVG2</t>
  </si>
  <si>
    <t>671</t>
  </si>
  <si>
    <t>1600 Worldwide Blvd</t>
  </si>
  <si>
    <t>CVG3</t>
  </si>
  <si>
    <t>672</t>
  </si>
  <si>
    <t>SUITE 100 3680 LANGLEY DR</t>
  </si>
  <si>
    <t>CVG5</t>
  </si>
  <si>
    <t>673</t>
  </si>
  <si>
    <t>2285 Litton Lane</t>
  </si>
  <si>
    <t>DAL2</t>
  </si>
  <si>
    <t>674</t>
  </si>
  <si>
    <t>DFW Airport</t>
  </si>
  <si>
    <t>2601 S. AIRFIELD DRIVE</t>
  </si>
  <si>
    <t>75261</t>
  </si>
  <si>
    <t>DAL3</t>
  </si>
  <si>
    <t>675</t>
  </si>
  <si>
    <t>DALLAS</t>
  </si>
  <si>
    <t>1310 Chalk Hill Road</t>
  </si>
  <si>
    <t>75211</t>
  </si>
  <si>
    <t>DCA1</t>
  </si>
  <si>
    <t>676</t>
  </si>
  <si>
    <t>MD</t>
  </si>
  <si>
    <t>马里兰州</t>
  </si>
  <si>
    <t>Sparrows Point</t>
  </si>
  <si>
    <t>1700 SPARROWS POINT BOULEVARD</t>
  </si>
  <si>
    <t>21219</t>
  </si>
  <si>
    <t>DCA6</t>
  </si>
  <si>
    <t>677</t>
  </si>
  <si>
    <t>BALTIMORE</t>
  </si>
  <si>
    <t>6001 Bethlehem Blvd</t>
  </si>
  <si>
    <t>DEN2</t>
  </si>
  <si>
    <t>678</t>
  </si>
  <si>
    <t>Aurora</t>
  </si>
  <si>
    <t>22205 East 19th Ave</t>
  </si>
  <si>
    <t>80019</t>
  </si>
  <si>
    <t>DEN3</t>
  </si>
  <si>
    <t>679</t>
  </si>
  <si>
    <t>Thornton</t>
  </si>
  <si>
    <t>14601 Grant Street</t>
  </si>
  <si>
    <t>80023</t>
  </si>
  <si>
    <t>DEN7</t>
  </si>
  <si>
    <t>680</t>
  </si>
  <si>
    <t>22300 E 26th Avenue</t>
  </si>
  <si>
    <t>681</t>
  </si>
  <si>
    <t>80018</t>
  </si>
  <si>
    <t>DET1</t>
  </si>
  <si>
    <t>682</t>
  </si>
  <si>
    <t>MI</t>
  </si>
  <si>
    <t>密歇根州</t>
  </si>
  <si>
    <t>LIVONIA</t>
  </si>
  <si>
    <t>39000 Amrhein Road</t>
  </si>
  <si>
    <t>48150</t>
  </si>
  <si>
    <t>DET2</t>
  </si>
  <si>
    <t>683</t>
  </si>
  <si>
    <t>Shelby Township</t>
  </si>
  <si>
    <t>50500 M ound Rd</t>
  </si>
  <si>
    <t>48317</t>
  </si>
  <si>
    <t>DFW6</t>
  </si>
  <si>
    <t>260</t>
  </si>
  <si>
    <t>Coppell</t>
  </si>
  <si>
    <t>940 W Bethel Road</t>
  </si>
  <si>
    <t>75019</t>
  </si>
  <si>
    <t>BFI3</t>
  </si>
  <si>
    <t>684</t>
  </si>
  <si>
    <t>WA</t>
  </si>
  <si>
    <t>华盛顿州</t>
  </si>
  <si>
    <t>Dupont</t>
  </si>
  <si>
    <t>2700 Center Drive</t>
  </si>
  <si>
    <t>98327</t>
  </si>
  <si>
    <t>BFI4</t>
  </si>
  <si>
    <t>685</t>
  </si>
  <si>
    <t>Kent</t>
  </si>
  <si>
    <t>20529 59th Place South</t>
  </si>
  <si>
    <t>98032</t>
  </si>
  <si>
    <t>BFI5</t>
  </si>
  <si>
    <t>686</t>
  </si>
  <si>
    <t>20526 59TH PL S</t>
  </si>
  <si>
    <t>BFI7</t>
  </si>
  <si>
    <t>687</t>
  </si>
  <si>
    <t>Sumner</t>
  </si>
  <si>
    <t>1901 140th Ave E</t>
  </si>
  <si>
    <t>98390</t>
  </si>
  <si>
    <t>BFI9</t>
  </si>
  <si>
    <t>688</t>
  </si>
  <si>
    <t>3230 International PL</t>
  </si>
  <si>
    <t>BFL1</t>
  </si>
  <si>
    <t>689</t>
  </si>
  <si>
    <t>BAKERSFIELD</t>
  </si>
  <si>
    <t>1601 Petrol Road</t>
  </si>
  <si>
    <t>93308</t>
  </si>
  <si>
    <t>BFL2</t>
  </si>
  <si>
    <t>690</t>
  </si>
  <si>
    <t>SHAFTER</t>
  </si>
  <si>
    <t>4500 EXPRESS AVE</t>
  </si>
  <si>
    <t>93263-2246</t>
  </si>
  <si>
    <t>BHM1</t>
  </si>
  <si>
    <t>691</t>
  </si>
  <si>
    <t>BESSEMER</t>
  </si>
  <si>
    <t>975 Powder Plant Rd</t>
  </si>
  <si>
    <t>35022</t>
  </si>
  <si>
    <t>BNA1</t>
  </si>
  <si>
    <t>692</t>
  </si>
  <si>
    <t>14840 Central Pike Suite 190</t>
  </si>
  <si>
    <t>LAS1</t>
  </si>
  <si>
    <t>310</t>
  </si>
  <si>
    <t>NV</t>
  </si>
  <si>
    <t>内华达州</t>
  </si>
  <si>
    <t>Henderson</t>
  </si>
  <si>
    <t>12300 Bermuda Road</t>
  </si>
  <si>
    <t>89044</t>
  </si>
  <si>
    <t>LAS2</t>
  </si>
  <si>
    <t>722</t>
  </si>
  <si>
    <t>Las Vegas</t>
  </si>
  <si>
    <t>3837 BAY LAKE TRL</t>
  </si>
  <si>
    <t>89030</t>
  </si>
  <si>
    <t>LAS6</t>
  </si>
  <si>
    <t>294</t>
  </si>
  <si>
    <t>4550 Nexus Way</t>
  </si>
  <si>
    <t>89115</t>
  </si>
  <si>
    <t>LAS7</t>
  </si>
  <si>
    <t>723</t>
  </si>
  <si>
    <t>6001 East Tropical Parkway</t>
  </si>
  <si>
    <t>LAX9</t>
  </si>
  <si>
    <t>308</t>
  </si>
  <si>
    <t>FONTANA</t>
  </si>
  <si>
    <t>11263 Oleander Ave</t>
  </si>
  <si>
    <t>92337</t>
  </si>
  <si>
    <t>LEX1</t>
  </si>
  <si>
    <t>724</t>
  </si>
  <si>
    <t>Lexington</t>
  </si>
  <si>
    <t>1850 Mercer RD</t>
  </si>
  <si>
    <t>40511</t>
  </si>
  <si>
    <t>LEX2</t>
  </si>
  <si>
    <t>725</t>
  </si>
  <si>
    <t>172 Trade St.</t>
  </si>
  <si>
    <t>LFT1</t>
  </si>
  <si>
    <t>726</t>
  </si>
  <si>
    <t>LA</t>
  </si>
  <si>
    <t>路易斯安那州</t>
  </si>
  <si>
    <t>CARENCRO</t>
  </si>
  <si>
    <t>3550 NE EVANGELINE TRWY</t>
  </si>
  <si>
    <t>70520</t>
  </si>
  <si>
    <t>LGA9</t>
  </si>
  <si>
    <t>727</t>
  </si>
  <si>
    <t>Edison</t>
  </si>
  <si>
    <t>2170 Route 27</t>
  </si>
  <si>
    <t>08817</t>
  </si>
  <si>
    <t>LGB3</t>
  </si>
  <si>
    <t>728</t>
  </si>
  <si>
    <t>Eastvale</t>
  </si>
  <si>
    <t>4950 Goodman Way</t>
  </si>
  <si>
    <t>91752</t>
  </si>
  <si>
    <t>ABE2</t>
  </si>
  <si>
    <t>271</t>
  </si>
  <si>
    <t>Breinigsville</t>
  </si>
  <si>
    <t>705 Boulder Drive</t>
  </si>
  <si>
    <t>18031</t>
  </si>
  <si>
    <t>ABE3</t>
  </si>
  <si>
    <t>272</t>
  </si>
  <si>
    <t>650 Boulder Drive</t>
  </si>
  <si>
    <t>ABE4</t>
  </si>
  <si>
    <t>273</t>
  </si>
  <si>
    <t>Easton</t>
  </si>
  <si>
    <t>1610 Van Buren Road</t>
  </si>
  <si>
    <t>18045</t>
  </si>
  <si>
    <t>ABE5</t>
  </si>
  <si>
    <t>729</t>
  </si>
  <si>
    <t>Harrisburg</t>
  </si>
  <si>
    <t>6455 Allentown Boulevard</t>
  </si>
  <si>
    <t>17112</t>
  </si>
  <si>
    <t>ABE8</t>
  </si>
  <si>
    <t>276</t>
  </si>
  <si>
    <t>Florence</t>
  </si>
  <si>
    <t>401 Independence Road</t>
  </si>
  <si>
    <t>08518</t>
  </si>
  <si>
    <t>ABE8-309</t>
  </si>
  <si>
    <t>730</t>
  </si>
  <si>
    <t>309 Cedar Lane</t>
  </si>
  <si>
    <t>ABE8-401</t>
  </si>
  <si>
    <t>731</t>
  </si>
  <si>
    <t>ACY1</t>
  </si>
  <si>
    <t>732</t>
  </si>
  <si>
    <t>West Deptford</t>
  </si>
  <si>
    <t>240 MANTUA GROVE ROAD</t>
  </si>
  <si>
    <t>08066</t>
  </si>
  <si>
    <t>ACY2</t>
  </si>
  <si>
    <t>733</t>
  </si>
  <si>
    <t>BURLINGTON</t>
  </si>
  <si>
    <t>1101 E PEARL ST</t>
  </si>
  <si>
    <t>08016</t>
  </si>
  <si>
    <t>AFW1</t>
  </si>
  <si>
    <t>734</t>
  </si>
  <si>
    <t>FORT WORTH</t>
  </si>
  <si>
    <t>1851 NE LOOP 820</t>
  </si>
  <si>
    <t>76131-1694</t>
  </si>
  <si>
    <t>AKC1</t>
  </si>
  <si>
    <t>735</t>
  </si>
  <si>
    <t>AKRON</t>
  </si>
  <si>
    <t>2450 ROMIG RD</t>
  </si>
  <si>
    <t>44320</t>
  </si>
  <si>
    <t>AKR1</t>
  </si>
  <si>
    <t>736</t>
  </si>
  <si>
    <t>Canton</t>
  </si>
  <si>
    <t>4747 Rebar Ave NE</t>
  </si>
  <si>
    <t>44705</t>
  </si>
  <si>
    <t>ALB1</t>
  </si>
  <si>
    <t>737</t>
  </si>
  <si>
    <t>NY</t>
  </si>
  <si>
    <t>纽约州</t>
  </si>
  <si>
    <t>Castleton</t>
  </si>
  <si>
    <t>1835 US Route 9</t>
  </si>
  <si>
    <t>12033</t>
  </si>
  <si>
    <t>AMA1</t>
  </si>
  <si>
    <t>738</t>
  </si>
  <si>
    <t>AMARILLO</t>
  </si>
  <si>
    <t>8590 NE 24th Avenue</t>
  </si>
  <si>
    <t>79108-7749</t>
  </si>
  <si>
    <t>ATL2</t>
  </si>
  <si>
    <t>739</t>
  </si>
  <si>
    <t>GA?</t>
  </si>
  <si>
    <t>STONE MOUNTAIN</t>
  </si>
  <si>
    <t>2255 W PARK PLACE BLVD</t>
  </si>
  <si>
    <t>30087</t>
  </si>
  <si>
    <t>ATL6</t>
  </si>
  <si>
    <t>740</t>
  </si>
  <si>
    <t>East Point</t>
  </si>
  <si>
    <t>4200 North Commerce</t>
  </si>
  <si>
    <t>30344</t>
  </si>
  <si>
    <t>ATL7</t>
  </si>
  <si>
    <t>741</t>
  </si>
  <si>
    <t>UNION CITY</t>
  </si>
  <si>
    <t>6855 SHANNON PKWY</t>
  </si>
  <si>
    <t>30291</t>
  </si>
  <si>
    <t>ATL8</t>
  </si>
  <si>
    <t>742</t>
  </si>
  <si>
    <t>Lithia Springs</t>
  </si>
  <si>
    <t>2201 Thornton Road</t>
  </si>
  <si>
    <t>30122</t>
  </si>
  <si>
    <t>IND9</t>
  </si>
  <si>
    <t>311</t>
  </si>
  <si>
    <t>GREENWOOD</t>
  </si>
  <si>
    <t>1151 S GRAHAM RD</t>
  </si>
  <si>
    <t>46143</t>
  </si>
  <si>
    <t>LCJ3</t>
  </si>
  <si>
    <t>Amazon Fulfilment Center
LCJ3 via: Amm GmbH Co KG Spedition
Hamburger Str. 99
Nuernberg, Bavaria 90451
DE (LCJ3)</t>
  </si>
  <si>
    <t>90451</t>
  </si>
  <si>
    <t>洪蝶</t>
  </si>
  <si>
    <t>一件代发芝加哥仓</t>
  </si>
  <si>
    <t>自营海外仓</t>
  </si>
  <si>
    <t>1（312）256-6736</t>
  </si>
  <si>
    <t>900</t>
  </si>
  <si>
    <t>Lockport</t>
  </si>
  <si>
    <t>16675 W. Prologis Parkway
Lockport</t>
  </si>
  <si>
    <t>60441</t>
  </si>
  <si>
    <t>BNA6</t>
  </si>
  <si>
    <t>904</t>
  </si>
  <si>
    <t xml:space="preserve"> Clarksville</t>
  </si>
  <si>
    <t>3875 Guthrie Hwy</t>
  </si>
  <si>
    <t>37040</t>
  </si>
  <si>
    <t>LAN2</t>
  </si>
  <si>
    <t>906</t>
  </si>
  <si>
    <t xml:space="preserve"> Lansing</t>
  </si>
  <si>
    <t>6500 W Mt Hope Hwy</t>
  </si>
  <si>
    <t>48917</t>
  </si>
  <si>
    <t>RDU4</t>
  </si>
  <si>
    <t>907</t>
  </si>
  <si>
    <t>NC</t>
  </si>
  <si>
    <t>北卡罗来纳州</t>
  </si>
  <si>
    <t>Fayetteville</t>
  </si>
  <si>
    <t>6309 Bragg Blvd</t>
  </si>
  <si>
    <t>28303</t>
  </si>
  <si>
    <t>管理员</t>
  </si>
  <si>
    <t>自提</t>
  </si>
  <si>
    <t>非亚马逊地址</t>
  </si>
  <si>
    <t>7777777777</t>
  </si>
  <si>
    <t>932</t>
  </si>
  <si>
    <t>一件代发萨凡纳仓</t>
  </si>
  <si>
    <t>Roy</t>
  </si>
  <si>
    <t>(626) 215-0975</t>
  </si>
  <si>
    <t>911</t>
  </si>
  <si>
    <t>Pooler</t>
  </si>
  <si>
    <t>301 CYPRESS MEADOW DR</t>
  </si>
  <si>
    <t>31322</t>
  </si>
  <si>
    <t>LBE1</t>
  </si>
  <si>
    <t>165 GLENN FOX RD
NEW STANTON,PA 15672-9703</t>
  </si>
  <si>
    <t>15672-9703</t>
  </si>
  <si>
    <t>HGR2</t>
  </si>
  <si>
    <t>913</t>
  </si>
  <si>
    <t>Hagerstown</t>
  </si>
  <si>
    <t>1115 Wesel Blvd</t>
  </si>
  <si>
    <t>21740-8126</t>
  </si>
  <si>
    <t>ABQ2</t>
  </si>
  <si>
    <t>914</t>
  </si>
  <si>
    <t>NM</t>
  </si>
  <si>
    <t>新墨西哥州</t>
  </si>
  <si>
    <t>LOS LUNAS</t>
  </si>
  <si>
    <t>6251 Pioneer Trail NW</t>
  </si>
  <si>
    <t>87031</t>
  </si>
  <si>
    <t>TMB8</t>
  </si>
  <si>
    <t>915</t>
  </si>
  <si>
    <t>HOMESTEAD</t>
  </si>
  <si>
    <t>27505 SW 132nd AVE</t>
  </si>
  <si>
    <t>33032-8597</t>
  </si>
  <si>
    <t>PSC2</t>
  </si>
  <si>
    <t>916</t>
  </si>
  <si>
    <t>PASCO</t>
  </si>
  <si>
    <t>1351 S Rd 40 E</t>
  </si>
  <si>
    <t>99301</t>
  </si>
  <si>
    <t>DTM9</t>
  </si>
  <si>
    <t>918</t>
  </si>
  <si>
    <t>58454</t>
  </si>
  <si>
    <t>德国</t>
  </si>
  <si>
    <t>姚丹</t>
  </si>
  <si>
    <t>MHG9</t>
  </si>
  <si>
    <t>951</t>
  </si>
  <si>
    <t>Ossenheimer Stra?e 7 63801 - Kleinostheim, - Germany</t>
  </si>
  <si>
    <t>63801</t>
  </si>
  <si>
    <t>ABQ2-UPS</t>
  </si>
  <si>
    <t>16601 W.SELLS DRIVE</t>
  </si>
  <si>
    <t>HIA1</t>
  </si>
  <si>
    <t>923</t>
  </si>
  <si>
    <t>Middletown</t>
  </si>
  <si>
    <t xml:space="preserve"> 3327 E Harrisburg Pik</t>
  </si>
  <si>
    <t>17057</t>
  </si>
  <si>
    <t>HGR6</t>
  </si>
  <si>
    <t>925</t>
  </si>
  <si>
    <t xml:space="preserve"> hagerstown</t>
  </si>
  <si>
    <t>55 West Oak Ridge Drive</t>
  </si>
  <si>
    <t>21740-7301</t>
  </si>
  <si>
    <t>QXY5</t>
  </si>
  <si>
    <t>934</t>
  </si>
  <si>
    <t>4532 NEWCASTLE RD</t>
  </si>
  <si>
    <t>95215-9465</t>
  </si>
  <si>
    <t>GEU5</t>
  </si>
  <si>
    <t>936</t>
  </si>
  <si>
    <t>4660 North Cotton Lane</t>
  </si>
  <si>
    <t>GEU2</t>
  </si>
  <si>
    <t>938</t>
  </si>
  <si>
    <t>Glendale</t>
  </si>
  <si>
    <t>15301 Northern Ave，Glendale</t>
  </si>
  <si>
    <t>RLG1</t>
  </si>
  <si>
    <t>282</t>
  </si>
  <si>
    <t>Amazon Dummerstorf GmbH
    Gewerbepark Ostsee 3
    Dummerstorf, Mecklenburg-Vorpommern 18196
    DE</t>
  </si>
  <si>
    <t>18196</t>
  </si>
  <si>
    <t>TRN3</t>
  </si>
  <si>
    <t>228</t>
  </si>
  <si>
    <t>意大利</t>
  </si>
  <si>
    <t xml:space="preserve">Amazon EU SARL - TRN3
Str. John Fitzgerald Kennedy
Alessandria, Piedmont 15122
IT </t>
  </si>
  <si>
    <t>15122</t>
  </si>
  <si>
    <t>大货中转美东仓</t>
  </si>
  <si>
    <t>海外仓地址</t>
  </si>
  <si>
    <t>949</t>
  </si>
  <si>
    <t>92401</t>
  </si>
  <si>
    <t>客户一件代发仓</t>
  </si>
  <si>
    <t>商业地址</t>
  </si>
  <si>
    <t>626 899 7393</t>
  </si>
  <si>
    <t>181 s e st ,san bernardino,CA,92401</t>
  </si>
  <si>
    <t>翁熙睿</t>
  </si>
  <si>
    <t>PDX7</t>
  </si>
  <si>
    <t>641</t>
  </si>
  <si>
    <t>Salem</t>
  </si>
  <si>
    <t>4775 Depot Ct SE</t>
  </si>
  <si>
    <t>97317</t>
  </si>
  <si>
    <t>PDX9</t>
  </si>
  <si>
    <t>642</t>
  </si>
  <si>
    <t>Troutdale</t>
  </si>
  <si>
    <t>1250 NW Swigert Way</t>
  </si>
  <si>
    <t>97060</t>
  </si>
  <si>
    <t>PHL1</t>
  </si>
  <si>
    <t>643</t>
  </si>
  <si>
    <t>1 Centerpoint Blvd.</t>
  </si>
  <si>
    <t>PHL3</t>
  </si>
  <si>
    <t>644</t>
  </si>
  <si>
    <t>1600 Johnson Way</t>
  </si>
  <si>
    <t>PHL4</t>
  </si>
  <si>
    <t>645</t>
  </si>
  <si>
    <t>Carlisle</t>
  </si>
  <si>
    <t>21 Roadway Drive</t>
  </si>
  <si>
    <t>17015</t>
  </si>
  <si>
    <t>PHL5</t>
  </si>
  <si>
    <t>646</t>
  </si>
  <si>
    <t>Lewisberry</t>
  </si>
  <si>
    <t>500 McCarthy DR</t>
  </si>
  <si>
    <t>17339</t>
  </si>
  <si>
    <t>PHL6</t>
  </si>
  <si>
    <t>647</t>
  </si>
  <si>
    <t>675 Allen Rd.</t>
  </si>
  <si>
    <t>PHL7</t>
  </si>
  <si>
    <t>648</t>
  </si>
  <si>
    <t>560 Merrimac Ave</t>
  </si>
  <si>
    <t>19709</t>
  </si>
  <si>
    <t>PHL8</t>
  </si>
  <si>
    <t>649</t>
  </si>
  <si>
    <t>727 N Broad St</t>
  </si>
  <si>
    <t>PHX3</t>
  </si>
  <si>
    <t>251</t>
  </si>
  <si>
    <t>Phoenix</t>
  </si>
  <si>
    <t>6835 WEST BUCKEYE ROAD</t>
  </si>
  <si>
    <t>PHX5</t>
  </si>
  <si>
    <t>252</t>
  </si>
  <si>
    <t>Goodyear</t>
  </si>
  <si>
    <t>16920 W Commerce Drive</t>
  </si>
  <si>
    <t>PHX6</t>
  </si>
  <si>
    <t>253</t>
  </si>
  <si>
    <t>4750 West Mohave St</t>
  </si>
  <si>
    <t>PHX7</t>
  </si>
  <si>
    <t>254</t>
  </si>
  <si>
    <t>800 N 75th Ave</t>
  </si>
  <si>
    <t>PIT1</t>
  </si>
  <si>
    <t>650</t>
  </si>
  <si>
    <t>Pittsburgh</t>
  </si>
  <si>
    <t>2250 Roswell Drive</t>
  </si>
  <si>
    <t>15205</t>
  </si>
  <si>
    <t>PIT2</t>
  </si>
  <si>
    <t>651</t>
  </si>
  <si>
    <t>IMPERIAL</t>
  </si>
  <si>
    <t>1200 Westport Rd</t>
  </si>
  <si>
    <t>15126</t>
  </si>
  <si>
    <t>QXY9</t>
  </si>
  <si>
    <t>652</t>
  </si>
  <si>
    <t>BEAUMONT</t>
  </si>
  <si>
    <t>36900 W FOURTH ST</t>
  </si>
  <si>
    <t>92223</t>
  </si>
  <si>
    <t>RDG1</t>
  </si>
  <si>
    <t>653</t>
  </si>
  <si>
    <t>HAMBURG</t>
  </si>
  <si>
    <t>3563 MOUNTAIN RD</t>
  </si>
  <si>
    <t>19526</t>
  </si>
  <si>
    <t>RDU1</t>
  </si>
  <si>
    <t>654</t>
  </si>
  <si>
    <t>GARNER</t>
  </si>
  <si>
    <t>4851 Jones Sausage Rd</t>
  </si>
  <si>
    <t>27529</t>
  </si>
  <si>
    <t>RDU2</t>
  </si>
  <si>
    <t>590</t>
  </si>
  <si>
    <t>SMITHFIELD</t>
  </si>
  <si>
    <t>2150 US HWY 70 Business West</t>
  </si>
  <si>
    <t>27577</t>
  </si>
  <si>
    <t>RFD2</t>
  </si>
  <si>
    <t>655</t>
  </si>
  <si>
    <t>HUNTLEY</t>
  </si>
  <si>
    <t>11500 Freeman Road</t>
  </si>
  <si>
    <t>60142</t>
  </si>
  <si>
    <t>RFD4</t>
  </si>
  <si>
    <t>656</t>
  </si>
  <si>
    <t>11400 Venture Court</t>
  </si>
  <si>
    <t>RIC1</t>
  </si>
  <si>
    <t>657</t>
  </si>
  <si>
    <t>Petersburg</t>
  </si>
  <si>
    <t>5000 Commerce Way</t>
  </si>
  <si>
    <t>23803</t>
  </si>
  <si>
    <t>CLE3</t>
  </si>
  <si>
    <t>658</t>
  </si>
  <si>
    <t>Euclid</t>
  </si>
  <si>
    <t>1155 Babbitt Road</t>
  </si>
  <si>
    <t>44132</t>
  </si>
  <si>
    <t>CLT2</t>
  </si>
  <si>
    <t>659</t>
  </si>
  <si>
    <t>Charlotte</t>
  </si>
  <si>
    <t>10240 Old Dowd Rd</t>
  </si>
  <si>
    <t>28214</t>
  </si>
  <si>
    <t>CLT3</t>
  </si>
  <si>
    <t>660</t>
  </si>
  <si>
    <t>Concord</t>
  </si>
  <si>
    <t>6500 Davidson Hwy</t>
  </si>
  <si>
    <t>28027</t>
  </si>
  <si>
    <t>CLT4</t>
  </si>
  <si>
    <t>661</t>
  </si>
  <si>
    <t>CHARLOTTE</t>
  </si>
  <si>
    <t>8000 TUCKASEEGEE RD</t>
  </si>
  <si>
    <t>CMH1</t>
  </si>
  <si>
    <t>662</t>
  </si>
  <si>
    <t>Etna</t>
  </si>
  <si>
    <t>11999 National Road SW</t>
  </si>
  <si>
    <t>43062</t>
  </si>
  <si>
    <t>CMH2</t>
  </si>
  <si>
    <t>663</t>
  </si>
  <si>
    <t>Groveport</t>
  </si>
  <si>
    <t>6050 Gateway Court</t>
  </si>
  <si>
    <t>43125</t>
  </si>
  <si>
    <t>CMH3</t>
  </si>
  <si>
    <t>664</t>
  </si>
  <si>
    <t>RIC3</t>
  </si>
  <si>
    <t>614</t>
  </si>
  <si>
    <t>Richmond</t>
  </si>
  <si>
    <t>4949?Commerce?Rd</t>
  </si>
  <si>
    <t>RMN3</t>
  </si>
  <si>
    <t>615</t>
  </si>
  <si>
    <t>FREDERICKSBURG</t>
  </si>
  <si>
    <t>220 Centreport Parkway</t>
  </si>
  <si>
    <t>22406</t>
  </si>
  <si>
    <t>沃尔玛SLC1n</t>
  </si>
  <si>
    <t>88888888</t>
  </si>
  <si>
    <t>1</t>
  </si>
  <si>
    <t>956</t>
  </si>
  <si>
    <t>UT</t>
  </si>
  <si>
    <t>犹他州</t>
  </si>
  <si>
    <t>Salt Lake City</t>
  </si>
  <si>
    <t>990 6550 W, Salt Lake City, UT 84116美國</t>
  </si>
  <si>
    <t>84116</t>
  </si>
  <si>
    <t>RNO1</t>
  </si>
  <si>
    <t>617</t>
  </si>
  <si>
    <t>Fernley</t>
  </si>
  <si>
    <t>1600 East Newlands Drive</t>
  </si>
  <si>
    <t>89408</t>
  </si>
  <si>
    <t>RNO2</t>
  </si>
  <si>
    <t>618</t>
  </si>
  <si>
    <t>Reno</t>
  </si>
  <si>
    <t>9085 Moya Blvd.</t>
  </si>
  <si>
    <t>89506</t>
  </si>
  <si>
    <t>RNO4</t>
  </si>
  <si>
    <t>619</t>
  </si>
  <si>
    <t>8000 North Virginia Street</t>
  </si>
  <si>
    <t>SAT1</t>
  </si>
  <si>
    <t>262</t>
  </si>
  <si>
    <t>Schertz</t>
  </si>
  <si>
    <t>6000 Enterprise Avenue</t>
  </si>
  <si>
    <t>78154</t>
  </si>
  <si>
    <t>SAT2</t>
  </si>
  <si>
    <t>263</t>
  </si>
  <si>
    <t>San Marcos</t>
  </si>
  <si>
    <t>1401 E McCarty Lane</t>
  </si>
  <si>
    <t>78666</t>
  </si>
  <si>
    <t>SAT4</t>
  </si>
  <si>
    <t>620</t>
  </si>
  <si>
    <t>SAN ANTONIO</t>
  </si>
  <si>
    <t>10384 W US HIGHWAY 90</t>
  </si>
  <si>
    <t>78245</t>
  </si>
  <si>
    <t>SAT6</t>
  </si>
  <si>
    <t>621</t>
  </si>
  <si>
    <t>SAN MARCOS</t>
  </si>
  <si>
    <t>1346 Fortuna Road</t>
  </si>
  <si>
    <t>78666-0001</t>
  </si>
  <si>
    <t>SAV3</t>
  </si>
  <si>
    <t>622</t>
  </si>
  <si>
    <t>Macon</t>
  </si>
  <si>
    <t>7001 Skipper Rd</t>
  </si>
  <si>
    <t>31216</t>
  </si>
  <si>
    <t>SBD1</t>
  </si>
  <si>
    <t>623</t>
  </si>
  <si>
    <t>BLOOMINGTON</t>
  </si>
  <si>
    <t>3388 S Cactus Ave</t>
  </si>
  <si>
    <t>92316</t>
  </si>
  <si>
    <t>SBD2</t>
  </si>
  <si>
    <t>624</t>
  </si>
  <si>
    <t>SAN BERNARDINO</t>
  </si>
  <si>
    <t>1494 S WATERMAN AVE</t>
  </si>
  <si>
    <t>92408</t>
  </si>
  <si>
    <t>SCK1</t>
  </si>
  <si>
    <t>625</t>
  </si>
  <si>
    <t>95215</t>
  </si>
  <si>
    <t>SCK3</t>
  </si>
  <si>
    <t>626</t>
  </si>
  <si>
    <t>MANTECA</t>
  </si>
  <si>
    <t>3565 N AIRPORT WAY</t>
  </si>
  <si>
    <t>95336</t>
  </si>
  <si>
    <t>SCK4</t>
  </si>
  <si>
    <t>627</t>
  </si>
  <si>
    <t>6001 S AUSTIN RD</t>
  </si>
  <si>
    <t>SCK8</t>
  </si>
  <si>
    <t>628</t>
  </si>
  <si>
    <t>Oakley</t>
  </si>
  <si>
    <t>4700 Wilbur Ave</t>
  </si>
  <si>
    <t>SDF1</t>
  </si>
  <si>
    <t>629</t>
  </si>
  <si>
    <t>Campbellsville</t>
  </si>
  <si>
    <t>1050 South Columbia</t>
  </si>
  <si>
    <t>42718</t>
  </si>
  <si>
    <t>SDF2</t>
  </si>
  <si>
    <t>630</t>
  </si>
  <si>
    <t>Louisville</t>
  </si>
  <si>
    <t>4360 Robards Ln</t>
  </si>
  <si>
    <t>40218</t>
  </si>
  <si>
    <t>SDF4</t>
  </si>
  <si>
    <t>631</t>
  </si>
  <si>
    <t>376 Zappos.com Blvd</t>
  </si>
  <si>
    <t>SDF6</t>
  </si>
  <si>
    <t>632</t>
  </si>
  <si>
    <t>271 Omega Pkwy</t>
  </si>
  <si>
    <t>SDF7</t>
  </si>
  <si>
    <t>633</t>
  </si>
  <si>
    <t>300 Omicron Court</t>
  </si>
  <si>
    <t>SDF8</t>
  </si>
  <si>
    <t>634</t>
  </si>
  <si>
    <t>900 Patrol Rd</t>
  </si>
  <si>
    <t>SDF9</t>
  </si>
  <si>
    <t>635</t>
  </si>
  <si>
    <t>100 W. Thomas P. Echols Lane</t>
  </si>
  <si>
    <t>SEA6</t>
  </si>
  <si>
    <t>636</t>
  </si>
  <si>
    <t>South Seattle</t>
  </si>
  <si>
    <t>2646 Rainier Ave</t>
  </si>
  <si>
    <t>98144</t>
  </si>
  <si>
    <t>ORF2</t>
  </si>
  <si>
    <t>637</t>
  </si>
  <si>
    <t>CHESAPEAKE</t>
  </si>
  <si>
    <t>5045 PORTSMOUTH BLVD</t>
  </si>
  <si>
    <t>23321-1425</t>
  </si>
  <si>
    <t>PCA1</t>
  </si>
  <si>
    <t>638</t>
  </si>
  <si>
    <t>Tracy</t>
  </si>
  <si>
    <t>1565 N MacArthur Dr</t>
  </si>
  <si>
    <t>95376</t>
  </si>
  <si>
    <t>PCW1</t>
  </si>
  <si>
    <t>639</t>
  </si>
  <si>
    <t>ROSSFORD</t>
  </si>
  <si>
    <t>27400 Crossroads Parkway</t>
  </si>
  <si>
    <t>43460</t>
  </si>
  <si>
    <t>BNA3</t>
  </si>
  <si>
    <t>694</t>
  </si>
  <si>
    <t>Murfreesboro</t>
  </si>
  <si>
    <t>2020 Joe B Jackson Pkwy</t>
  </si>
  <si>
    <t>37127</t>
  </si>
  <si>
    <t>BNA4</t>
  </si>
  <si>
    <t>695</t>
  </si>
  <si>
    <t>Nashville</t>
  </si>
  <si>
    <t>50 Airways Blvd</t>
  </si>
  <si>
    <t>37217</t>
  </si>
  <si>
    <t>BOI2</t>
  </si>
  <si>
    <t>696</t>
  </si>
  <si>
    <t>ID</t>
  </si>
  <si>
    <t>爱达荷州</t>
  </si>
  <si>
    <t>NAMPA</t>
  </si>
  <si>
    <t>5295 E. Franklin Road</t>
  </si>
  <si>
    <t>83687</t>
  </si>
  <si>
    <t>BOS1</t>
  </si>
  <si>
    <t>697</t>
  </si>
  <si>
    <t>NH</t>
  </si>
  <si>
    <t>新罕布什尔州</t>
  </si>
  <si>
    <t>Nashua</t>
  </si>
  <si>
    <t>10 STATE STREET</t>
  </si>
  <si>
    <t>3063</t>
  </si>
  <si>
    <t>BOS5</t>
  </si>
  <si>
    <t>698</t>
  </si>
  <si>
    <t>MA</t>
  </si>
  <si>
    <t>麻萨诸塞州</t>
  </si>
  <si>
    <t>Stoughton</t>
  </si>
  <si>
    <t>1000 Technology Center Dr</t>
  </si>
  <si>
    <t>02072</t>
  </si>
  <si>
    <t>BOS7</t>
  </si>
  <si>
    <t>699</t>
  </si>
  <si>
    <t>Fall River</t>
  </si>
  <si>
    <t>1180 Innovation Way</t>
  </si>
  <si>
    <t>02720</t>
  </si>
  <si>
    <t>BWI1</t>
  </si>
  <si>
    <t>700</t>
  </si>
  <si>
    <t>STERLING</t>
  </si>
  <si>
    <t>45121 GLOBAL PLAZA</t>
  </si>
  <si>
    <t>20166</t>
  </si>
  <si>
    <t>BWI2</t>
  </si>
  <si>
    <t>701</t>
  </si>
  <si>
    <t>Baltimore</t>
  </si>
  <si>
    <t>2010 Broening Highway</t>
  </si>
  <si>
    <t>21224</t>
  </si>
  <si>
    <t>BWI4</t>
  </si>
  <si>
    <t>702</t>
  </si>
  <si>
    <t>Clear Brook</t>
  </si>
  <si>
    <t>165 Business Blvd</t>
  </si>
  <si>
    <t>22624</t>
  </si>
  <si>
    <t>CAE1</t>
  </si>
  <si>
    <t>703</t>
  </si>
  <si>
    <t>West Columbia</t>
  </si>
  <si>
    <t>4400 12 Street Extension</t>
  </si>
  <si>
    <t>29172</t>
  </si>
  <si>
    <t>CH01</t>
  </si>
  <si>
    <t>704</t>
  </si>
  <si>
    <t>FISHERSVILLE</t>
  </si>
  <si>
    <t>32 TRADER RD</t>
  </si>
  <si>
    <t>22939</t>
  </si>
  <si>
    <t>CHA1</t>
  </si>
  <si>
    <t>705</t>
  </si>
  <si>
    <t>Chattanooga</t>
  </si>
  <si>
    <t>7200 Discovery Drive</t>
  </si>
  <si>
    <t>37416</t>
  </si>
  <si>
    <t>CHA2</t>
  </si>
  <si>
    <t>706</t>
  </si>
  <si>
    <t>Charleston</t>
  </si>
  <si>
    <t>225 Infinity Dr NW</t>
  </si>
  <si>
    <t>37310</t>
  </si>
  <si>
    <t>CHO1</t>
  </si>
  <si>
    <t>707</t>
  </si>
  <si>
    <t>22939-2437</t>
  </si>
  <si>
    <t>IVSA</t>
  </si>
  <si>
    <t>708</t>
  </si>
  <si>
    <t>Erlanger</t>
  </si>
  <si>
    <t>4620 Olympic Blvd</t>
  </si>
  <si>
    <t>41018</t>
  </si>
  <si>
    <t>IVSB</t>
  </si>
  <si>
    <t>709</t>
  </si>
  <si>
    <t>HEBRON</t>
  </si>
  <si>
    <t>3521 POINT PLEASANT RD</t>
  </si>
  <si>
    <t>IVSC</t>
  </si>
  <si>
    <t>710</t>
  </si>
  <si>
    <t>1225 Forest Parkway</t>
  </si>
  <si>
    <t>IVSD</t>
  </si>
  <si>
    <t>711</t>
  </si>
  <si>
    <t>Swedesboro</t>
  </si>
  <si>
    <t>800 ARLINGTON BLVD</t>
  </si>
  <si>
    <t>08085</t>
  </si>
  <si>
    <t>IVSE</t>
  </si>
  <si>
    <t>712</t>
  </si>
  <si>
    <t>LAS VEGAS</t>
  </si>
  <si>
    <t>2951 MARION DR UNIT 101</t>
  </si>
  <si>
    <t>IVSF</t>
  </si>
  <si>
    <t>713</t>
  </si>
  <si>
    <t>2821 MARION DR STE 109</t>
  </si>
  <si>
    <t>JAX2</t>
  </si>
  <si>
    <t>714</t>
  </si>
  <si>
    <t>Jacksonville</t>
  </si>
  <si>
    <t>12900 Pecan Park Road</t>
  </si>
  <si>
    <t>32218</t>
  </si>
  <si>
    <t>JAX3</t>
  </si>
  <si>
    <t>715</t>
  </si>
  <si>
    <t>13333 103rd Street</t>
  </si>
  <si>
    <t>32210</t>
  </si>
  <si>
    <t>JFK8</t>
  </si>
  <si>
    <t>716</t>
  </si>
  <si>
    <t>Staten Island</t>
  </si>
  <si>
    <t>546 GULF AVENUE</t>
  </si>
  <si>
    <t>10314</t>
  </si>
  <si>
    <t>JVL1</t>
  </si>
  <si>
    <t>717</t>
  </si>
  <si>
    <t>WI</t>
  </si>
  <si>
    <t>威斯康星州</t>
  </si>
  <si>
    <t>BELOIT</t>
  </si>
  <si>
    <t>1255 Gateway Blvd</t>
  </si>
  <si>
    <t>53511</t>
  </si>
  <si>
    <t>KIX3</t>
  </si>
  <si>
    <t>718</t>
  </si>
  <si>
    <t>大阪府</t>
  </si>
  <si>
    <t>茨木市</t>
  </si>
  <si>
    <t>松下町2-1</t>
  </si>
  <si>
    <t>567-8507</t>
  </si>
  <si>
    <t>KRB1</t>
  </si>
  <si>
    <t>520</t>
  </si>
  <si>
    <t>555 E ORANGE SHOW RD</t>
  </si>
  <si>
    <t>KRB2</t>
  </si>
  <si>
    <t>719</t>
  </si>
  <si>
    <t>PRINCE GEORGE</t>
  </si>
  <si>
    <t>7000 HARDWARE DR</t>
  </si>
  <si>
    <t>23875</t>
  </si>
  <si>
    <t>KRB4</t>
  </si>
  <si>
    <t>720</t>
  </si>
  <si>
    <t>PERRIS</t>
  </si>
  <si>
    <t>4501 PATTERSON AVE</t>
  </si>
  <si>
    <t>92571</t>
  </si>
  <si>
    <t>AVP3</t>
  </si>
  <si>
    <t>275</t>
  </si>
  <si>
    <t>GOULDSBORO</t>
  </si>
  <si>
    <t>298 1ST AVE</t>
  </si>
  <si>
    <t>18424</t>
  </si>
  <si>
    <t>AZA4</t>
  </si>
  <si>
    <t>743</t>
  </si>
  <si>
    <t>3333 S 59TH AVE</t>
  </si>
  <si>
    <t>BDL1</t>
  </si>
  <si>
    <t>744</t>
  </si>
  <si>
    <t>CT</t>
  </si>
  <si>
    <t>康涅狄格州</t>
  </si>
  <si>
    <t>Windsor</t>
  </si>
  <si>
    <t>801 Day Hill Rd</t>
  </si>
  <si>
    <t>06095</t>
  </si>
  <si>
    <t>BDL2</t>
  </si>
  <si>
    <t>745</t>
  </si>
  <si>
    <t>200 OLD IRON ORE RD</t>
  </si>
  <si>
    <t>BDL3</t>
  </si>
  <si>
    <t>746</t>
  </si>
  <si>
    <t>North Haven</t>
  </si>
  <si>
    <t>409 Washington Avenue</t>
  </si>
  <si>
    <t>06473</t>
  </si>
  <si>
    <t>BDL6</t>
  </si>
  <si>
    <t>747</t>
  </si>
  <si>
    <t>CROMWELL</t>
  </si>
  <si>
    <t>120 County Line Drive</t>
  </si>
  <si>
    <t>6416</t>
  </si>
  <si>
    <t>DSM5</t>
  </si>
  <si>
    <t>748</t>
  </si>
  <si>
    <t>IA</t>
  </si>
  <si>
    <t>爱荷华州</t>
  </si>
  <si>
    <t>BONDURANT</t>
  </si>
  <si>
    <t>500 32nd Street SW</t>
  </si>
  <si>
    <t>50035</t>
  </si>
  <si>
    <t>DTW1</t>
  </si>
  <si>
    <t>749</t>
  </si>
  <si>
    <t>Romulus</t>
  </si>
  <si>
    <t>32801?Ecorse?Road</t>
  </si>
  <si>
    <t>48174</t>
  </si>
  <si>
    <t>DTW3</t>
  </si>
  <si>
    <t>750</t>
  </si>
  <si>
    <t>ROMULUS</t>
  </si>
  <si>
    <t>33701 PRESCOTT ST</t>
  </si>
  <si>
    <t>EL96</t>
  </si>
  <si>
    <t>751</t>
  </si>
  <si>
    <t>Dayton</t>
  </si>
  <si>
    <t>10 sigle lane, unit b</t>
  </si>
  <si>
    <t>08810</t>
  </si>
  <si>
    <t>EWR4</t>
  </si>
  <si>
    <t>752</t>
  </si>
  <si>
    <t>Robbinsville</t>
  </si>
  <si>
    <t>50 New Canton Way</t>
  </si>
  <si>
    <t>08691</t>
  </si>
  <si>
    <t>EWR5</t>
  </si>
  <si>
    <t>753</t>
  </si>
  <si>
    <t>Avenel</t>
  </si>
  <si>
    <t>301 BLAIR ROAD</t>
  </si>
  <si>
    <t>07001</t>
  </si>
  <si>
    <t>EWR7</t>
  </si>
  <si>
    <t>754</t>
  </si>
  <si>
    <t>301 Blair Rd.</t>
  </si>
  <si>
    <t>EWR9</t>
  </si>
  <si>
    <t>755</t>
  </si>
  <si>
    <t>Carteret</t>
  </si>
  <si>
    <t>8003 Industrial Parkway</t>
  </si>
  <si>
    <t>07008</t>
  </si>
  <si>
    <t>FAR1</t>
  </si>
  <si>
    <t>756</t>
  </si>
  <si>
    <t>ND</t>
  </si>
  <si>
    <t>北达科他州</t>
  </si>
  <si>
    <t>FARGO</t>
  </si>
  <si>
    <t>3701 40TH AVE N</t>
  </si>
  <si>
    <t>58102-7400</t>
  </si>
  <si>
    <t>FAT1</t>
  </si>
  <si>
    <t>757</t>
  </si>
  <si>
    <t>3575 S. Orange Ave</t>
  </si>
  <si>
    <t>93725</t>
  </si>
  <si>
    <t>FAT2</t>
  </si>
  <si>
    <t>758</t>
  </si>
  <si>
    <t>VISALIA</t>
  </si>
  <si>
    <t>3315 N KELSEY ST</t>
  </si>
  <si>
    <t>93291</t>
  </si>
  <si>
    <t>FOE1</t>
  </si>
  <si>
    <t>759</t>
  </si>
  <si>
    <t>KANSAS CITY</t>
  </si>
  <si>
    <t>9400 LEAVENWORTH RD</t>
  </si>
  <si>
    <t>66109</t>
  </si>
  <si>
    <t>FTW1</t>
  </si>
  <si>
    <t>255</t>
  </si>
  <si>
    <t>Dallas</t>
  </si>
  <si>
    <t>33333 LBJ FWY</t>
  </si>
  <si>
    <t>75241</t>
  </si>
  <si>
    <t>FTW2</t>
  </si>
  <si>
    <t>259</t>
  </si>
  <si>
    <t>2701 West Bethel Road</t>
  </si>
  <si>
    <t>FTW3</t>
  </si>
  <si>
    <t>760</t>
  </si>
  <si>
    <t>Fort Worth</t>
  </si>
  <si>
    <t>15201 Heritage Pkwy</t>
  </si>
  <si>
    <t>76177</t>
  </si>
  <si>
    <t>FTW5</t>
  </si>
  <si>
    <t>761</t>
  </si>
  <si>
    <t>FORNEY</t>
  </si>
  <si>
    <t>1475 AKRON WAY</t>
  </si>
  <si>
    <t>75126</t>
  </si>
  <si>
    <t>FTW6</t>
  </si>
  <si>
    <t>762</t>
  </si>
  <si>
    <t>2601 W Bethel Road</t>
  </si>
  <si>
    <t>FTW9</t>
  </si>
  <si>
    <t>763</t>
  </si>
  <si>
    <t>COPPELL</t>
  </si>
  <si>
    <t>944 West Sandy Lake Road</t>
  </si>
  <si>
    <t>FWA4</t>
  </si>
  <si>
    <t>589</t>
  </si>
  <si>
    <t>FORT WAYNE</t>
  </si>
  <si>
    <t>9798 Smith Road</t>
  </si>
  <si>
    <t>46809-9771</t>
  </si>
  <si>
    <t>GEG2</t>
  </si>
  <si>
    <t>764</t>
  </si>
  <si>
    <t>SPOKANE</t>
  </si>
  <si>
    <t>18007 E Garland Ave</t>
  </si>
  <si>
    <t>99216</t>
  </si>
  <si>
    <t>GRR1</t>
  </si>
  <si>
    <t>765</t>
  </si>
  <si>
    <t>CALEDONIA</t>
  </si>
  <si>
    <t>4500 68th Street SE</t>
  </si>
  <si>
    <t>49316</t>
  </si>
  <si>
    <t>GS01</t>
  </si>
  <si>
    <t>766</t>
  </si>
  <si>
    <t>KERNERSVILLE</t>
  </si>
  <si>
    <t>1656 OLD GREENSBORO RD</t>
  </si>
  <si>
    <t>27284</t>
  </si>
  <si>
    <t>GSO1</t>
  </si>
  <si>
    <t>767</t>
  </si>
  <si>
    <t>MUC3</t>
  </si>
  <si>
    <t>479</t>
  </si>
  <si>
    <t>Amazon EU Sarl Amazonstrasse 1 Graben 86836 DE (MUC3)</t>
  </si>
  <si>
    <t>86836</t>
  </si>
  <si>
    <t>WBW2</t>
  </si>
  <si>
    <t>920</t>
  </si>
  <si>
    <t>OLYPHANT</t>
  </si>
  <si>
    <t>1300 Corporate Way，OLYPHANT</t>
  </si>
  <si>
    <t>18447</t>
  </si>
  <si>
    <t>CLT6</t>
  </si>
  <si>
    <t>940</t>
  </si>
  <si>
    <t>PINEVILLE</t>
  </si>
  <si>
    <t>12220 Carolina Logistics Drive</t>
  </si>
  <si>
    <t>28134</t>
  </si>
  <si>
    <t>USCAHY-26</t>
  </si>
  <si>
    <t>USCAHY92335B</t>
  </si>
  <si>
    <t>私人地址</t>
  </si>
  <si>
    <t>944</t>
  </si>
  <si>
    <t xml:space="preserve"> Fontana</t>
  </si>
  <si>
    <t>13230 San Bernardino Ave. Ste B, Fontana</t>
  </si>
  <si>
    <t>92335</t>
  </si>
  <si>
    <t>MHG9/IDU4</t>
  </si>
  <si>
    <t>952</t>
  </si>
  <si>
    <t>Ossenheimer Stra?e 7
Kleinostheim, Bavaria 63801 DE</t>
  </si>
  <si>
    <t>HEA2</t>
  </si>
  <si>
    <t>953</t>
  </si>
  <si>
    <t>650 Boulder Dr, Breinigsville, PA 18031</t>
  </si>
  <si>
    <t>XRI3</t>
  </si>
  <si>
    <t>AMAZON</t>
  </si>
  <si>
    <t>954</t>
  </si>
  <si>
    <t>RICHMOND</t>
  </si>
  <si>
    <t>4949 Commerce Rd 23234 - RICHMOND, VA - United States</t>
  </si>
  <si>
    <t>23234</t>
  </si>
  <si>
    <t>EMA3</t>
  </si>
  <si>
    <t>957</t>
  </si>
  <si>
    <t>Nottingham</t>
  </si>
  <si>
    <t>Amazon EU SARL (UK)
10 Oyster Road
Eastwood
Nottingham, Nottinghamshire UK NG16 3UA
GB (EMA3)</t>
  </si>
  <si>
    <t xml:space="preserve">NG16 3UA
</t>
  </si>
  <si>
    <t>英国</t>
  </si>
  <si>
    <t>大货中转芝加哥仓</t>
  </si>
  <si>
    <t>958</t>
  </si>
  <si>
    <t>CHI</t>
  </si>
  <si>
    <t>MCI3</t>
  </si>
  <si>
    <t>962</t>
  </si>
  <si>
    <t>MO</t>
  </si>
  <si>
    <t>密苏里州</t>
  </si>
  <si>
    <t>LIBERTY</t>
  </si>
  <si>
    <t>2361 S. Withers Road</t>
  </si>
  <si>
    <t>64068</t>
  </si>
  <si>
    <t>HLI2</t>
  </si>
  <si>
    <t>963</t>
  </si>
  <si>
    <t>Hollister</t>
  </si>
  <si>
    <t>600 Ernie Dr, Hollister, CA 95023</t>
  </si>
  <si>
    <t>95023</t>
  </si>
  <si>
    <t>SWF2</t>
  </si>
  <si>
    <t>896</t>
  </si>
  <si>
    <t>Hopewell</t>
  </si>
  <si>
    <t>76 Patriot Way</t>
  </si>
  <si>
    <t>12533</t>
  </si>
  <si>
    <t>沃尔玛PHX1</t>
  </si>
  <si>
    <t>879</t>
  </si>
  <si>
    <t>Litchfield Park</t>
  </si>
  <si>
    <t>6600 N Sarival Ave, Litchfield Park, AZ 85340</t>
  </si>
  <si>
    <t>85340</t>
  </si>
  <si>
    <t>沃尔玛SMF1N</t>
  </si>
  <si>
    <t>880</t>
  </si>
  <si>
    <t>Sacramento</t>
  </si>
  <si>
    <t>7000 Powerline Rd,
Sacramento, CA, 95837</t>
  </si>
  <si>
    <t>95837</t>
  </si>
  <si>
    <t>沃尔玛TX 75087</t>
  </si>
  <si>
    <t>881</t>
  </si>
  <si>
    <t>Rockwall</t>
  </si>
  <si>
    <t>782 E Interstate 30, Rockwall, TX 75087</t>
  </si>
  <si>
    <t>75087</t>
  </si>
  <si>
    <t>沃尔玛WMLEYI</t>
  </si>
  <si>
    <t>882</t>
  </si>
  <si>
    <t>6055 S Fulton Pkwy, Atlanta, GA 30349</t>
  </si>
  <si>
    <t>沃尔玛WM-MTH</t>
  </si>
  <si>
    <t>897</t>
  </si>
  <si>
    <t>Joliet</t>
  </si>
  <si>
    <t>3501 Brandon Road</t>
  </si>
  <si>
    <t>60436</t>
  </si>
  <si>
    <t>监管仓</t>
  </si>
  <si>
    <t xml:space="preserve">PSC2-UPS </t>
  </si>
  <si>
    <t>9930 NE Alderwood Rd</t>
  </si>
  <si>
    <t>97242</t>
  </si>
  <si>
    <t>ITX1</t>
  </si>
  <si>
    <t>784</t>
  </si>
  <si>
    <t>9851Fallbrook Pines Drive Suite100</t>
  </si>
  <si>
    <t>77064</t>
  </si>
  <si>
    <t>ITX2</t>
  </si>
  <si>
    <t>785</t>
  </si>
  <si>
    <t>6911 FAIRBANKS N HOUSTON RD SUITE 160</t>
  </si>
  <si>
    <t>77040</t>
  </si>
  <si>
    <t>IUSJ</t>
  </si>
  <si>
    <t>786</t>
  </si>
  <si>
    <t>36900 West 4th Street</t>
  </si>
  <si>
    <t>MEM6</t>
  </si>
  <si>
    <t>787</t>
  </si>
  <si>
    <t>11505 Progress Way</t>
  </si>
  <si>
    <t>MEM8</t>
  </si>
  <si>
    <t>788</t>
  </si>
  <si>
    <t>BYHALIA</t>
  </si>
  <si>
    <t>850 GATEWAY GLOBAL DR</t>
  </si>
  <si>
    <t>38611-6040</t>
  </si>
  <si>
    <t>MGE1</t>
  </si>
  <si>
    <t>789</t>
  </si>
  <si>
    <t>Braselton</t>
  </si>
  <si>
    <t>650 Broadway Avenue</t>
  </si>
  <si>
    <t>30517</t>
  </si>
  <si>
    <t>MGE3</t>
  </si>
  <si>
    <t>790</t>
  </si>
  <si>
    <t>Jefferson</t>
  </si>
  <si>
    <t>808 Hog Mountain Road</t>
  </si>
  <si>
    <t>30549</t>
  </si>
  <si>
    <t>MIA1</t>
  </si>
  <si>
    <t>791</t>
  </si>
  <si>
    <t>Miami</t>
  </si>
  <si>
    <t>1900 NW 132nd Place Doral</t>
  </si>
  <si>
    <t>33182</t>
  </si>
  <si>
    <t>MIA1-33054</t>
  </si>
  <si>
    <t>792</t>
  </si>
  <si>
    <t>Opa-Locka</t>
  </si>
  <si>
    <t>14000 NW 37th Avenue</t>
  </si>
  <si>
    <t>33054</t>
  </si>
  <si>
    <t>MKC4</t>
  </si>
  <si>
    <t>793</t>
  </si>
  <si>
    <t>19645 Waverly Rd</t>
  </si>
  <si>
    <t>MKC6</t>
  </si>
  <si>
    <t>794</t>
  </si>
  <si>
    <t>Kansas City</t>
  </si>
  <si>
    <t>6925 Riverview Avenue</t>
  </si>
  <si>
    <t>66102</t>
  </si>
  <si>
    <t>MKE1</t>
  </si>
  <si>
    <t>795</t>
  </si>
  <si>
    <t>Kenosha</t>
  </si>
  <si>
    <t>3501 120th Avenue</t>
  </si>
  <si>
    <t>53144</t>
  </si>
  <si>
    <t>MKE2</t>
  </si>
  <si>
    <t>796</t>
  </si>
  <si>
    <t>OAK CREEK</t>
  </si>
  <si>
    <t>9700 S 13th Street</t>
  </si>
  <si>
    <t>53154</t>
  </si>
  <si>
    <t>MQJ1</t>
  </si>
  <si>
    <t>797</t>
  </si>
  <si>
    <t>GREENFIELD</t>
  </si>
  <si>
    <t>4412 W 300 N</t>
  </si>
  <si>
    <t>46140</t>
  </si>
  <si>
    <t>MQJ2</t>
  </si>
  <si>
    <t>798</t>
  </si>
  <si>
    <t>WHITELAND</t>
  </si>
  <si>
    <t>19 BOB GLIDDEN BLVD</t>
  </si>
  <si>
    <t>46184</t>
  </si>
  <si>
    <t>MSP1</t>
  </si>
  <si>
    <t>799</t>
  </si>
  <si>
    <t>MN</t>
  </si>
  <si>
    <t>明尼苏达州</t>
  </si>
  <si>
    <t>Shakopee</t>
  </si>
  <si>
    <t>2601 4th Avenue East</t>
  </si>
  <si>
    <t>55379</t>
  </si>
  <si>
    <t>MSP6</t>
  </si>
  <si>
    <t>800</t>
  </si>
  <si>
    <t>LAKEVILLE</t>
  </si>
  <si>
    <t>9800 217th St W</t>
  </si>
  <si>
    <t>55044</t>
  </si>
  <si>
    <t>OAK3</t>
  </si>
  <si>
    <t>291</t>
  </si>
  <si>
    <t>Patterson</t>
  </si>
  <si>
    <t>255 Park Center Drive</t>
  </si>
  <si>
    <t>95363</t>
  </si>
  <si>
    <t>OAK4</t>
  </si>
  <si>
    <t>292</t>
  </si>
  <si>
    <t>1555 N. Chrisman Rd</t>
  </si>
  <si>
    <t>95304</t>
  </si>
  <si>
    <t>OKC1</t>
  </si>
  <si>
    <t>801</t>
  </si>
  <si>
    <t>OK</t>
  </si>
  <si>
    <t>俄克拉荷马州</t>
  </si>
  <si>
    <t>OKLAHOMA CITY</t>
  </si>
  <si>
    <t>9201 S PORTLAND AVENUE</t>
  </si>
  <si>
    <t>73159</t>
  </si>
  <si>
    <t>OKC2</t>
  </si>
  <si>
    <t>802</t>
  </si>
  <si>
    <t>8991 S Portland Avenue</t>
  </si>
  <si>
    <t>ONT2</t>
  </si>
  <si>
    <t>284</t>
  </si>
  <si>
    <t>San Bernardino</t>
  </si>
  <si>
    <t>1910 E Central Ave</t>
  </si>
  <si>
    <t>ONT6</t>
  </si>
  <si>
    <t>249</t>
  </si>
  <si>
    <t>Moreno Valley</t>
  </si>
  <si>
    <t>24208 San Michele Rd</t>
  </si>
  <si>
    <t>92551</t>
  </si>
  <si>
    <t>ONT7</t>
  </si>
  <si>
    <t>803</t>
  </si>
  <si>
    <t>2125 W SAN BERNARDINO AVE</t>
  </si>
  <si>
    <t>92374</t>
  </si>
  <si>
    <t>248</t>
  </si>
  <si>
    <t>MORENO VALLEY</t>
  </si>
  <si>
    <t>24300 Nandina Ave</t>
  </si>
  <si>
    <t>ONT9</t>
  </si>
  <si>
    <t>804</t>
  </si>
  <si>
    <t>2125 W. San Bernandino Ave</t>
  </si>
  <si>
    <t>92374-5005</t>
  </si>
  <si>
    <t>ORD2</t>
  </si>
  <si>
    <t>805</t>
  </si>
  <si>
    <t>CHANNAHON</t>
  </si>
  <si>
    <t>23714 W Amoco Rd</t>
  </si>
  <si>
    <t>60410</t>
  </si>
  <si>
    <t>LIT1</t>
  </si>
  <si>
    <t>888</t>
  </si>
  <si>
    <t>AR</t>
  </si>
  <si>
    <t>阿肯色州</t>
  </si>
  <si>
    <t>Little Rock</t>
  </si>
  <si>
    <t>7001 Zeuber Rd</t>
  </si>
  <si>
    <t>72206</t>
  </si>
  <si>
    <t>一件代发纽约仓</t>
  </si>
  <si>
    <t>5166108325</t>
  </si>
  <si>
    <t>903</t>
  </si>
  <si>
    <t>New Jersey</t>
  </si>
  <si>
    <t>520 Jersey Ave New Brunswick</t>
  </si>
  <si>
    <t>08901</t>
  </si>
  <si>
    <t>912</t>
  </si>
  <si>
    <t xml:space="preserve">PA </t>
  </si>
  <si>
    <t>New Stanton</t>
  </si>
  <si>
    <t xml:space="preserve">165 GLENN FOX RD </t>
  </si>
  <si>
    <t>23 Centenary Ave,Moorebank, NSW 2170,AU</t>
  </si>
  <si>
    <t>927</t>
  </si>
  <si>
    <t>?BWU1</t>
  </si>
  <si>
    <t>2170</t>
  </si>
  <si>
    <t>BWU1</t>
  </si>
  <si>
    <t>JOT1</t>
  </si>
  <si>
    <t>935</t>
  </si>
  <si>
    <t>SBT</t>
  </si>
  <si>
    <t>1494 S WATERMAN AVE 92408 -SAN BERNARDINO</t>
  </si>
  <si>
    <t>USCAHY-25</t>
  </si>
  <si>
    <t>USCAHY92335A</t>
  </si>
  <si>
    <t>943</t>
  </si>
  <si>
    <t>16255 Slover Ave, Fontana</t>
  </si>
  <si>
    <t>沃尔玛DFW2n</t>
  </si>
  <si>
    <t>901</t>
  </si>
  <si>
    <t>15101 N Beach ST</t>
  </si>
  <si>
    <t>IUSQ</t>
  </si>
  <si>
    <t>942</t>
  </si>
  <si>
    <t>2125 W San Bernardino Ave</t>
  </si>
  <si>
    <t xml:space="preserve"> 92374</t>
  </si>
  <si>
    <t>BFI1</t>
  </si>
  <si>
    <t>593</t>
  </si>
  <si>
    <t>1800 140th Avenue E</t>
  </si>
  <si>
    <t>CLE2</t>
  </si>
  <si>
    <t>594</t>
  </si>
  <si>
    <t>North Randall</t>
  </si>
  <si>
    <t>21500 Emery Rd</t>
  </si>
  <si>
    <t>44128</t>
  </si>
  <si>
    <t>DFW7</t>
  </si>
  <si>
    <t>261</t>
  </si>
  <si>
    <t>700 Westport Parkway</t>
  </si>
  <si>
    <t>LGB4</t>
  </si>
  <si>
    <t>296</t>
  </si>
  <si>
    <t>Redlands</t>
  </si>
  <si>
    <t>27517 Pioneer Avenue</t>
  </si>
  <si>
    <t>LGB6</t>
  </si>
  <si>
    <t>595</t>
  </si>
  <si>
    <t>Riverside</t>
  </si>
  <si>
    <t>20901 Krameria Ave</t>
  </si>
  <si>
    <t>92518</t>
  </si>
  <si>
    <t>LGB7</t>
  </si>
  <si>
    <t>596</t>
  </si>
  <si>
    <t>Rialto</t>
  </si>
  <si>
    <t>1660 N. Linden Avenue</t>
  </si>
  <si>
    <t>92376</t>
  </si>
  <si>
    <t>LGB8</t>
  </si>
  <si>
    <t>250</t>
  </si>
  <si>
    <t>1568 N Linden Ave</t>
  </si>
  <si>
    <t>LGB9</t>
  </si>
  <si>
    <t>597</t>
  </si>
  <si>
    <t>Perris</t>
  </si>
  <si>
    <t>4375 N Perris Blvd</t>
  </si>
  <si>
    <t>LIT2</t>
  </si>
  <si>
    <t>598</t>
  </si>
  <si>
    <t>NORTH LITTLE ROCK</t>
  </si>
  <si>
    <t>13001 HIGHWAY 70</t>
  </si>
  <si>
    <t>72117</t>
  </si>
  <si>
    <t>MCE1</t>
  </si>
  <si>
    <t>599</t>
  </si>
  <si>
    <t>TURLOCK</t>
  </si>
  <si>
    <t>3200 Fulkerth Road</t>
  </si>
  <si>
    <t>95380-9684</t>
  </si>
  <si>
    <t>MCI5</t>
  </si>
  <si>
    <t>600</t>
  </si>
  <si>
    <t>Lenexa</t>
  </si>
  <si>
    <t>16851 W 113th St</t>
  </si>
  <si>
    <t>66219</t>
  </si>
  <si>
    <t>MCO1</t>
  </si>
  <si>
    <t>601</t>
  </si>
  <si>
    <t>Orlando</t>
  </si>
  <si>
    <t>12340 Boggy Creek Rd</t>
  </si>
  <si>
    <t>32824</t>
  </si>
  <si>
    <t>MCO2</t>
  </si>
  <si>
    <t>602</t>
  </si>
  <si>
    <t>Deltona</t>
  </si>
  <si>
    <t>2600 N Normandy Blvd</t>
  </si>
  <si>
    <t>32725</t>
  </si>
  <si>
    <t>MDT1</t>
  </si>
  <si>
    <t>603</t>
  </si>
  <si>
    <t>2 Ames Drive</t>
  </si>
  <si>
    <t>MDT2</t>
  </si>
  <si>
    <t>604</t>
  </si>
  <si>
    <t>North East</t>
  </si>
  <si>
    <t>600 PRINCIPIO PARKWAY WEST</t>
  </si>
  <si>
    <t>21901</t>
  </si>
  <si>
    <t>MDT4</t>
  </si>
  <si>
    <t>605</t>
  </si>
  <si>
    <t>YORK</t>
  </si>
  <si>
    <t>5125 Commerce Drive</t>
  </si>
  <si>
    <t xml:space="preserve">17408 </t>
  </si>
  <si>
    <t>LBA8</t>
  </si>
  <si>
    <t>917</t>
  </si>
  <si>
    <t>Unit 3, Logic Leeds?Skelton Moor Way?LS15 0BF?-?Leeds, -?United Kingdom</t>
  </si>
  <si>
    <t>LS15 0BF</t>
  </si>
  <si>
    <t>MDW2</t>
  </si>
  <si>
    <t>264</t>
  </si>
  <si>
    <t>250 Emerald Drive</t>
  </si>
  <si>
    <t>60433</t>
  </si>
  <si>
    <t>MDW2-402</t>
  </si>
  <si>
    <t>607</t>
  </si>
  <si>
    <t>402 Emerald Drive</t>
  </si>
  <si>
    <t>MDW4</t>
  </si>
  <si>
    <t>608</t>
  </si>
  <si>
    <t>201 EMERALD DR</t>
  </si>
  <si>
    <t>MDW6</t>
  </si>
  <si>
    <t>265</t>
  </si>
  <si>
    <t>ROMEOVILLE</t>
  </si>
  <si>
    <t>1125 W REMINGTON BLVD</t>
  </si>
  <si>
    <t>60446</t>
  </si>
  <si>
    <t>MDW7</t>
  </si>
  <si>
    <t>609</t>
  </si>
  <si>
    <t>Monee</t>
  </si>
  <si>
    <t>6605 Monee Manhattan Road</t>
  </si>
  <si>
    <t>60449</t>
  </si>
  <si>
    <t>MDW8</t>
  </si>
  <si>
    <t>266</t>
  </si>
  <si>
    <t>Waukegan</t>
  </si>
  <si>
    <t>1750 Bridge Drive</t>
  </si>
  <si>
    <t>60085</t>
  </si>
  <si>
    <t>MDW9</t>
  </si>
  <si>
    <t>267</t>
  </si>
  <si>
    <t>2865 Duke Parkway</t>
  </si>
  <si>
    <t>60502</t>
  </si>
  <si>
    <t>MEM1</t>
  </si>
  <si>
    <t>312</t>
  </si>
  <si>
    <t>Memphis</t>
  </si>
  <si>
    <t>3292 E Holmes Rd</t>
  </si>
  <si>
    <t>38118</t>
  </si>
  <si>
    <t>MEM2</t>
  </si>
  <si>
    <t>610</t>
  </si>
  <si>
    <t>191 NORFOLK SOUTHERN WAY</t>
  </si>
  <si>
    <t>38611</t>
  </si>
  <si>
    <t>MEM4</t>
  </si>
  <si>
    <t>611</t>
  </si>
  <si>
    <t>MEMPHIS</t>
  </si>
  <si>
    <t>4055 NEW ALLEN RD</t>
  </si>
  <si>
    <t>38128</t>
  </si>
  <si>
    <t>DFW8</t>
  </si>
  <si>
    <t>612</t>
  </si>
  <si>
    <t>2700 Regent Blvd</t>
  </si>
  <si>
    <t>858</t>
  </si>
  <si>
    <t>沃尔玛LAX2T</t>
  </si>
  <si>
    <t>857</t>
  </si>
  <si>
    <t>6720 Kimball Ave</t>
  </si>
  <si>
    <t>MIT2</t>
  </si>
  <si>
    <t>929</t>
  </si>
  <si>
    <t>5408 Express Avenue</t>
  </si>
  <si>
    <t>93263</t>
  </si>
  <si>
    <t>沃尔玛ORD1s</t>
  </si>
  <si>
    <t>0123456789</t>
  </si>
  <si>
    <t>892</t>
  </si>
  <si>
    <t>XLI3</t>
  </si>
  <si>
    <t>584</t>
  </si>
  <si>
    <t>Strada Provinciale 128 km 2 Geodis Logistics S.p.A. 27010 - Marzano, Pavia - Italy</t>
  </si>
  <si>
    <t>XMP1</t>
  </si>
  <si>
    <t>854</t>
  </si>
  <si>
    <t>Amazon Fulfillment Center
Via Maestri Del Lavoro, 990
45031 Arqua Polesine Rovigo</t>
  </si>
  <si>
    <t>XMP4</t>
  </si>
  <si>
    <t>855</t>
  </si>
  <si>
    <t>Zona Industriale Strada per Silvano Petra ID Logistics 27050 - Casei Gerola, Lombardy</t>
  </si>
  <si>
    <t>BHX2</t>
  </si>
  <si>
    <t>345</t>
  </si>
  <si>
    <t>15B Beveridge Ln Ellistown LE67 1FB - COALVILLE, Leicestershire - United Kingdom</t>
  </si>
  <si>
    <t>LE67 1FB</t>
  </si>
  <si>
    <t>BHX8</t>
  </si>
  <si>
    <t>894</t>
  </si>
  <si>
    <t>Redditch</t>
  </si>
  <si>
    <t>BHX8 - Unit A, Gateway, Coventry Hwy - B98 9AY - Redditch, - United Kingdom</t>
  </si>
  <si>
    <t>B98 9AY</t>
  </si>
  <si>
    <t>BHX3</t>
  </si>
  <si>
    <t>346</t>
  </si>
  <si>
    <t>Amazon Fulfillment Center
 Amazon Fulfillment Centre BHX3
 4 Royal Oak Way North
 Daventry, Northamptonshire NN11 8QL
 GB (BHX3)</t>
  </si>
  <si>
    <t>BHX4</t>
  </si>
  <si>
    <t>347</t>
  </si>
  <si>
    <t>West Midlands</t>
  </si>
  <si>
    <t>COVENTRY</t>
  </si>
  <si>
    <t>Amazon Fulfillment Center(BHX4)Amazon Fulfillment CenterPlot 1, Lyons Park,Lyons DrCoventry West Midlands CV5 9PF GB</t>
  </si>
  <si>
    <t>CV5 9PF</t>
  </si>
  <si>
    <t>BHX7</t>
  </si>
  <si>
    <t>570</t>
  </si>
  <si>
    <t>Amazon Fulfillment Center
Unit 2, Hinckley Park
Avery Way Hinckley
Hinckley, Leicestershire LE10 3FF
GB (BHX7)</t>
  </si>
  <si>
    <t>LE10 3FF</t>
  </si>
  <si>
    <t>BRS1</t>
  </si>
  <si>
    <t>416</t>
  </si>
  <si>
    <t>Amazon Fulfillment Center
Amazon BRS1 Fulfillment Center
Goldcrest Way
Bristol, South West BS35 4DJ
GB (BRS1)</t>
  </si>
  <si>
    <t>BS35 4DJ</t>
  </si>
  <si>
    <t>CWL1</t>
  </si>
  <si>
    <t>442</t>
  </si>
  <si>
    <t>Amazon Fulfillment Center Ffordd Amazon Crymlyn Burrows, Swansea SA18QX GB (CWL1)</t>
  </si>
  <si>
    <t>SA1 8QX</t>
  </si>
  <si>
    <t>DSA7</t>
  </si>
  <si>
    <t>DSA7 - Wakefield 515, Grovehall Lane WF11 0AB - KNOTTINGLEY, West Yorkshire - United Kingdom</t>
  </si>
  <si>
    <t>WF11 0AB</t>
  </si>
  <si>
    <t>EDI4</t>
  </si>
  <si>
    <t>443</t>
  </si>
  <si>
    <t>Amazon.co.uk Amazon Fulfilment Centre Amazon Way Dunfermline, Fife KY11 8ST GB (EDI4)</t>
  </si>
  <si>
    <t>KY11 8ST</t>
  </si>
  <si>
    <t>EMA1</t>
  </si>
  <si>
    <t>350</t>
  </si>
  <si>
    <t>Amazon Fulfillment Center
Amazon EMA1 Fulfillment Center
Unit 1, Wilders Way,
Derby, England DE74 2BB</t>
  </si>
  <si>
    <t>DE74 2BB</t>
  </si>
  <si>
    <t>EMA2</t>
  </si>
  <si>
    <t>506</t>
  </si>
  <si>
    <t>Amazon Fulfillment Center
SUMMIT PARK
SHERWOOD WAY SOUTH
SUTTON IN ASHFIELD, Mansfield NG17 4PA
GB (EMA2)</t>
  </si>
  <si>
    <t>EUK5</t>
  </si>
  <si>
    <t>351</t>
  </si>
  <si>
    <t>Amazon.co.uk Phase Two, Kingston Park Flaxley Road Peterborough PE2 9EN GB (EUK5)</t>
  </si>
  <si>
    <t>PE2 9EN</t>
  </si>
  <si>
    <t>EUKA</t>
  </si>
  <si>
    <t>352</t>
  </si>
  <si>
    <t>UNO UK, Units 9 – 10 Manasty Rd, Orton Southgate, PE2 6UG GB (EUKA)</t>
  </si>
  <si>
    <t>PE2 6UG</t>
  </si>
  <si>
    <t>EUKB</t>
  </si>
  <si>
    <t>353</t>
  </si>
  <si>
    <t>Amazon Fulfillment Center Unit 12, Holkham Road, Overton Park Peterborough PE2 6TE GB (EUKB)</t>
  </si>
  <si>
    <t>PE2 6TE</t>
  </si>
  <si>
    <t>EUKD</t>
  </si>
  <si>
    <t>430</t>
  </si>
  <si>
    <t>Amazon Fulfillment Center
Foundry Point, Halebank Industrial Estate,
Foundry Lane
Widnes WA8 8WJ
GB (EUKD)</t>
  </si>
  <si>
    <t>WA8 8WJ</t>
  </si>
  <si>
    <t>GLA1</t>
  </si>
  <si>
    <t>445</t>
  </si>
  <si>
    <t>Amazon.co.uk 2 Cloch Road Faulds Park Gourock,Inverclyde PA19 1BQ UK(GLA1)</t>
  </si>
  <si>
    <t>PA19 1BQ</t>
  </si>
  <si>
    <t>LBA1</t>
  </si>
  <si>
    <t>359</t>
  </si>
  <si>
    <t>Amazon Fulfillment Center Unit 1, Balby Carr Bank, Balby Doncaster DN4 5JS GB (LBA1)</t>
  </si>
  <si>
    <t>DN4 5JS</t>
  </si>
  <si>
    <t>LBA2</t>
  </si>
  <si>
    <t>360</t>
  </si>
  <si>
    <t>Amazon Fulfillment Center Unit 1 (IP1= Amazon) Iport Avenue Doncaster, Yorkshire and the Humber DN11 0BG GB (LBA2)</t>
  </si>
  <si>
    <t>DN11 0BG</t>
  </si>
  <si>
    <t>LBA4</t>
  </si>
  <si>
    <t>508</t>
  </si>
  <si>
    <t>DONCASTER</t>
  </si>
  <si>
    <t>New Rossington</t>
  </si>
  <si>
    <t>Amazon Fulfillment Center
Unit IP9 Toronto Way
DONCASTER
NEW ROSSINGTON
DN11 0GU England</t>
  </si>
  <si>
    <t>DN11 0GU</t>
  </si>
  <si>
    <t>LPL2</t>
  </si>
  <si>
    <t>571</t>
  </si>
  <si>
    <t>Lancashire</t>
  </si>
  <si>
    <t>LIVERPOOL</t>
  </si>
  <si>
    <t>Unit 1 Marl Road PLP Knowsley-L33 7AP-LIVERPOOL, Lancashire-United Kingdom</t>
  </si>
  <si>
    <t>LTN1</t>
  </si>
  <si>
    <t>364</t>
  </si>
  <si>
    <t>Amazon.co.uk Marston Gate Fulfillment Centre Ridgmont, Bedfordshire MK43 0ZA GB (LTN1)</t>
  </si>
  <si>
    <t>MK43 0ZA</t>
  </si>
  <si>
    <t>LTN4</t>
  </si>
  <si>
    <t>366</t>
  </si>
  <si>
    <t>Amazon EU SARL Unit DC1 (Prologis) Dunstable, East England,LU54FE GB(LTN4)</t>
  </si>
  <si>
    <t>LU5 4FE</t>
  </si>
  <si>
    <t>LCY2</t>
  </si>
  <si>
    <t>363</t>
  </si>
  <si>
    <t>Amazon Fulfillment Center Amazon Distribution Depot Unit 2, London Distribution Park Tilbury, United Kingdom RM18 7AN GB (LCY2)</t>
  </si>
  <si>
    <t>RM18 7AN</t>
  </si>
  <si>
    <t>LTN2</t>
  </si>
  <si>
    <t>365</t>
  </si>
  <si>
    <t>Amazon Fulfillment Center Boundary Way Hertfordshire HEMEL HEMPSTEAD HP27LF United Kingdom GB (LTN2)</t>
  </si>
  <si>
    <t>HP2 7LF</t>
  </si>
  <si>
    <t>LTN7</t>
  </si>
  <si>
    <t>Amazon Fulfillment Center
Bedford 405, Bedford Commercial Park
Bedfordshire
BEDFORD
MK43 9RH England</t>
  </si>
  <si>
    <t>MK43 9JH</t>
  </si>
  <si>
    <t>MAN1</t>
  </si>
  <si>
    <t>417</t>
  </si>
  <si>
    <t>Amazon EU SARL 6 Sunbank Lane Airport City, Altrincham ,Manchester, M90 5AA GB (MAN1)</t>
  </si>
  <si>
    <t>M90 5AA</t>
  </si>
  <si>
    <t>MAN2</t>
  </si>
  <si>
    <t>431</t>
  </si>
  <si>
    <t>Amazon Fulfillment Center Omega Plot 7c Orion Boulevard Warrington, North West England WA5 3XA GB(MAN2)</t>
  </si>
  <si>
    <t>WA5 3XA</t>
  </si>
  <si>
    <t>MAN3</t>
  </si>
  <si>
    <t>418</t>
  </si>
  <si>
    <t>Amazon Fulfillment Center 360 Logistics North, Over Hulton Bolton, North West BL5 1BT GB (MAN3)</t>
  </si>
  <si>
    <t>BL5 1BT</t>
  </si>
  <si>
    <t>MAN4</t>
  </si>
  <si>
    <t>367</t>
  </si>
  <si>
    <t>CHESTERFIELD</t>
  </si>
  <si>
    <t>Amazon Fulfillment Center 
Amazon MAN4 Fulfillment Centre
29 Gander Lane
CHESTERFIELD, Derbyshire S43 4PZ
GB (MAN4)</t>
  </si>
  <si>
    <t>S43 4PZ</t>
  </si>
  <si>
    <t>MME1</t>
  </si>
  <si>
    <t>440</t>
  </si>
  <si>
    <t>Amazon Fulfillment Center
Building One
Symmetry Park
Darlington, England DL1 4BF</t>
  </si>
  <si>
    <t>DL1 4BF</t>
  </si>
  <si>
    <t>MME2</t>
  </si>
  <si>
    <t>441</t>
  </si>
  <si>
    <t>Amazon Fulfillment Center
PEAT EDGE FARM TURSDALE ROAD
BOWBURN, North East England DH6 5NP
GB (MME2)</t>
  </si>
  <si>
    <t>DH6 5NP</t>
  </si>
  <si>
    <t>WA8 8YN</t>
  </si>
  <si>
    <t>Amazon Fulfillment Center Foundry Point, Halebank Industrial Estate, Foundry Lane WIDNES WA8 8YN United Kingdom (WA8 8YN)</t>
  </si>
  <si>
    <t>XBH1</t>
  </si>
  <si>
    <t>412</t>
  </si>
  <si>
    <t>XPO Logistics?Unit A Daventry Distribution Centre?NN11 8QL?-?Daventry,?Leicestershire?-?United Kingdom</t>
  </si>
  <si>
    <t>XBH2</t>
  </si>
  <si>
    <t>413</t>
  </si>
  <si>
    <t>Amazon Fulfillment Center
DC1 Pro Logis, Central Park
RUGBY, Warwickshire CV23 0WB
GB (XBH2)</t>
  </si>
  <si>
    <t>CV23 0WB</t>
  </si>
  <si>
    <t>XBH4</t>
  </si>
  <si>
    <t>Amazon Fulfillment Center
GRAVELLY WAY
CEVA Logistics
WOLVERHAMPTON, West Midlands WV10 7GW
GB (XBH4)</t>
  </si>
  <si>
    <t>WV10 7GW</t>
  </si>
  <si>
    <t>XBH5</t>
  </si>
  <si>
    <t>574</t>
  </si>
  <si>
    <t>Amazon Fulfillment Center
Building MPS1 Hudson Way
Magna Park South
LUTTERWORTH, East Midlands LE17 4XY
GB (XBH5)</t>
  </si>
  <si>
    <t>LE17 4XY</t>
  </si>
  <si>
    <t>XBH7</t>
  </si>
  <si>
    <t>Amazon Fulfillment Center
Fortress Way
Suffolk Park
Bury St. Edmunds, Suffolk IP32 7FQ
GB (XBH7)</t>
  </si>
  <si>
    <t>XDS1</t>
  </si>
  <si>
    <t>573</t>
  </si>
  <si>
    <t>Amazon Fulfillment Center
Gateway 4 Jackson Lane
Dale View
DONCASTER, Yorkshire DN3 3FX GB (XDS1)</t>
  </si>
  <si>
    <t>DN3 3FX</t>
  </si>
  <si>
    <t>XLP1</t>
  </si>
  <si>
    <t>Deeside Industrial Park, Zone 3
Weighbridge Road
DEESIDE, Flintshire CH5 2LL
GB</t>
  </si>
  <si>
    <t>XLT1</t>
  </si>
  <si>
    <t>Amazon Fulfillment Center
Units 9 and 10 Manasty Rd
PETERBOROUGH, PETERBOROUGH PE2 6UG</t>
  </si>
  <si>
    <t>XUKS</t>
  </si>
  <si>
    <t>CEVA Logistics Unit 11, Wilders Way DE74 2XL - Derby, Leicestershire - United Kingdom</t>
  </si>
  <si>
    <t>DE74 2XL</t>
  </si>
  <si>
    <t>AVP9</t>
  </si>
  <si>
    <t>889</t>
  </si>
  <si>
    <t>Jessup</t>
  </si>
  <si>
    <t>AVP9 - 45 VALLEY VIEW DR 18434-1153 - JESSUP, PA</t>
  </si>
  <si>
    <t>18434</t>
  </si>
  <si>
    <t>SEA8</t>
  </si>
  <si>
    <t>807</t>
  </si>
  <si>
    <t>Bellevue</t>
  </si>
  <si>
    <t>1227 124th Avenue Northeast</t>
  </si>
  <si>
    <t>98005</t>
  </si>
  <si>
    <t>SJC7</t>
  </si>
  <si>
    <t>293</t>
  </si>
  <si>
    <t>188 Mountain House Parkway</t>
  </si>
  <si>
    <t>95377</t>
  </si>
  <si>
    <t>SJC8</t>
  </si>
  <si>
    <t>808</t>
  </si>
  <si>
    <t>Fremont</t>
  </si>
  <si>
    <t>46724 LAKEVIEW BLVD</t>
  </si>
  <si>
    <t>94538</t>
  </si>
  <si>
    <t>SLA5</t>
  </si>
  <si>
    <t>809</t>
  </si>
  <si>
    <t>5250 Goodman Rd</t>
  </si>
  <si>
    <t>SLC1</t>
  </si>
  <si>
    <t>810</t>
  </si>
  <si>
    <t>SALT LAKE CITY</t>
  </si>
  <si>
    <t>777 N 5600TH  W</t>
  </si>
  <si>
    <t>SLC2</t>
  </si>
  <si>
    <t>811</t>
  </si>
  <si>
    <t>West Jordan</t>
  </si>
  <si>
    <t>7148 W. Old Bingham Hwy</t>
  </si>
  <si>
    <t>84081</t>
  </si>
  <si>
    <t>SLC3</t>
  </si>
  <si>
    <t>812</t>
  </si>
  <si>
    <t>355 N JOHN GLENN RD</t>
  </si>
  <si>
    <t>SLS2</t>
  </si>
  <si>
    <t>813</t>
  </si>
  <si>
    <t>SMF1</t>
  </si>
  <si>
    <t>814</t>
  </si>
  <si>
    <t>4900 W Elkhorn Blvd</t>
  </si>
  <si>
    <t>95835</t>
  </si>
  <si>
    <t>SMF3</t>
  </si>
  <si>
    <t>309</t>
  </si>
  <si>
    <t>3923 S B ST</t>
  </si>
  <si>
    <t>95206</t>
  </si>
  <si>
    <t>SMF6</t>
  </si>
  <si>
    <t>815</t>
  </si>
  <si>
    <t>4930 Allbaugh Drive</t>
  </si>
  <si>
    <t>SMF7</t>
  </si>
  <si>
    <t>816</t>
  </si>
  <si>
    <t>VACAVILLE</t>
  </si>
  <si>
    <t>4800 Midway Road</t>
  </si>
  <si>
    <t>95688</t>
  </si>
  <si>
    <t>SMI1</t>
  </si>
  <si>
    <t>817</t>
  </si>
  <si>
    <t>HAZEL PARK</t>
  </si>
  <si>
    <t>1400 E 10 MILE RD</t>
  </si>
  <si>
    <t>48030</t>
  </si>
  <si>
    <t>SNA4</t>
  </si>
  <si>
    <t>286</t>
  </si>
  <si>
    <t>2496 W Walnut Ave</t>
  </si>
  <si>
    <t>STL3</t>
  </si>
  <si>
    <t>818</t>
  </si>
  <si>
    <t>REPUBLIC</t>
  </si>
  <si>
    <t>3200 E SAWYER RD</t>
  </si>
  <si>
    <t>65738</t>
  </si>
  <si>
    <t>STL4</t>
  </si>
  <si>
    <t>819</t>
  </si>
  <si>
    <t>Edwardsville</t>
  </si>
  <si>
    <t>3050 GATEWAY COMMERCE CENTER DR S</t>
  </si>
  <si>
    <t>62025</t>
  </si>
  <si>
    <t>STL6</t>
  </si>
  <si>
    <t>820</t>
  </si>
  <si>
    <t>3931 Lakeview Corporate Drive</t>
  </si>
  <si>
    <t>STL8</t>
  </si>
  <si>
    <t>821</t>
  </si>
  <si>
    <t>SAINT PETERS</t>
  </si>
  <si>
    <t>4000 Premier Parkway</t>
  </si>
  <si>
    <t>63376</t>
  </si>
  <si>
    <t>SWF1</t>
  </si>
  <si>
    <t>822</t>
  </si>
  <si>
    <t>ROCK TAVERN</t>
  </si>
  <si>
    <t>635 INTERNATIONAL BLVD</t>
  </si>
  <si>
    <t>12575</t>
  </si>
  <si>
    <t>大货中转美西仓</t>
  </si>
  <si>
    <t>924</t>
  </si>
  <si>
    <t>CITY</t>
  </si>
  <si>
    <t>TEB3</t>
  </si>
  <si>
    <t>277</t>
  </si>
  <si>
    <t>Logan Township</t>
  </si>
  <si>
    <t>2651 Oldmans Creek Rd</t>
  </si>
  <si>
    <t>TEB4</t>
  </si>
  <si>
    <t>824</t>
  </si>
  <si>
    <t>PENNS GROVE</t>
  </si>
  <si>
    <t>747 COURSES LANDING RD</t>
  </si>
  <si>
    <t>08069</t>
  </si>
  <si>
    <t>TEB6</t>
  </si>
  <si>
    <t>825</t>
  </si>
  <si>
    <t>Cranbury</t>
  </si>
  <si>
    <t>22 Hightstown Cranbury State Road</t>
  </si>
  <si>
    <t>08512</t>
  </si>
  <si>
    <t>TEB9</t>
  </si>
  <si>
    <t>826</t>
  </si>
  <si>
    <t>SOMERSET</t>
  </si>
  <si>
    <t>601 Randolph Road</t>
  </si>
  <si>
    <t>08873</t>
  </si>
  <si>
    <t>TPA1</t>
  </si>
  <si>
    <t>827</t>
  </si>
  <si>
    <t>Ruskin</t>
  </si>
  <si>
    <t>3350 Laurel Ridge Ave.</t>
  </si>
  <si>
    <t>33570</t>
  </si>
  <si>
    <t>TPA2</t>
  </si>
  <si>
    <t>828</t>
  </si>
  <si>
    <t>1760 County Line Rd</t>
  </si>
  <si>
    <t>TPA3</t>
  </si>
  <si>
    <t>829</t>
  </si>
  <si>
    <t>Auburndale</t>
  </si>
  <si>
    <t>676 C Fred Jones Blvd</t>
  </si>
  <si>
    <t>33823</t>
  </si>
  <si>
    <t>TPA6</t>
  </si>
  <si>
    <t>830</t>
  </si>
  <si>
    <t>OCALA</t>
  </si>
  <si>
    <t>3400 NW 35th Avenue Road</t>
  </si>
  <si>
    <t>34475</t>
  </si>
  <si>
    <t>TTN2</t>
  </si>
  <si>
    <t>831</t>
  </si>
  <si>
    <t>CRANBURY</t>
  </si>
  <si>
    <t>343 HALF ACRE RD</t>
  </si>
  <si>
    <t>TUL1</t>
  </si>
  <si>
    <t>832</t>
  </si>
  <si>
    <t>Coffeyville</t>
  </si>
  <si>
    <t>2654 North Highway 169</t>
  </si>
  <si>
    <t>67337</t>
  </si>
  <si>
    <t>TUL2</t>
  </si>
  <si>
    <t>833</t>
  </si>
  <si>
    <t>TULSA</t>
  </si>
  <si>
    <t>4040N 125TH E AVE</t>
  </si>
  <si>
    <t>74116</t>
  </si>
  <si>
    <t>TUS2</t>
  </si>
  <si>
    <t>834</t>
  </si>
  <si>
    <t>TUCSON</t>
  </si>
  <si>
    <t>6701 S KOLB RD</t>
  </si>
  <si>
    <t>85756</t>
  </si>
  <si>
    <t>VGT2</t>
  </si>
  <si>
    <t>591</t>
  </si>
  <si>
    <t>6401 Howdy Wells Ave</t>
  </si>
  <si>
    <t>89115-2013</t>
  </si>
  <si>
    <t>VUBA</t>
  </si>
  <si>
    <t>835</t>
  </si>
  <si>
    <t>Scranton</t>
  </si>
  <si>
    <t>1000 Keystone Industrial Park</t>
  </si>
  <si>
    <t>18512</t>
  </si>
  <si>
    <t>VUGA</t>
  </si>
  <si>
    <t>836</t>
  </si>
  <si>
    <t>West Pittston</t>
  </si>
  <si>
    <t>508 Delaware Avenue</t>
  </si>
  <si>
    <t>18643</t>
  </si>
  <si>
    <t>XEW2</t>
  </si>
  <si>
    <t>837</t>
  </si>
  <si>
    <t>XIX6</t>
  </si>
  <si>
    <t>838</t>
  </si>
  <si>
    <t>Fontana</t>
  </si>
  <si>
    <t>10681 Production Ave</t>
  </si>
  <si>
    <t>XIX7</t>
  </si>
  <si>
    <t>839</t>
  </si>
  <si>
    <t>XLX1</t>
  </si>
  <si>
    <t>840</t>
  </si>
  <si>
    <t>HAGERSTOWN</t>
  </si>
  <si>
    <t>21740</t>
  </si>
  <si>
    <t>XLX3</t>
  </si>
  <si>
    <t>841</t>
  </si>
  <si>
    <t>Santa Clarita</t>
  </si>
  <si>
    <t>21590 Needham Ranch Parkway</t>
  </si>
  <si>
    <t>91321</t>
  </si>
  <si>
    <t>XLX6</t>
  </si>
  <si>
    <t>842</t>
  </si>
  <si>
    <t>XLX7</t>
  </si>
  <si>
    <t>843</t>
  </si>
  <si>
    <t>VICTORVILLE</t>
  </si>
  <si>
    <t>18580 GATEWAY DR</t>
  </si>
  <si>
    <t>92394</t>
  </si>
  <si>
    <t>XUSB</t>
  </si>
  <si>
    <t>844</t>
  </si>
  <si>
    <t>14900 Frey Rd</t>
  </si>
  <si>
    <t>76155</t>
  </si>
  <si>
    <t>XUSC</t>
  </si>
  <si>
    <t>845</t>
  </si>
  <si>
    <t>40 Logistics Drive</t>
  </si>
  <si>
    <t>17013</t>
  </si>
  <si>
    <t>XUSD</t>
  </si>
  <si>
    <t>846</t>
  </si>
  <si>
    <t>1909 Zephyr St</t>
  </si>
  <si>
    <t>XUSE</t>
  </si>
  <si>
    <t>847</t>
  </si>
  <si>
    <t>5100 S. Indianapolis Road</t>
  </si>
  <si>
    <t>46975</t>
  </si>
  <si>
    <t>LEJ1</t>
  </si>
  <si>
    <t>477</t>
  </si>
  <si>
    <t>Amazon Fulfillment Center AMAZONSTRASSE 1 Leipzig, Saxony 04347 DE (LEJ1)</t>
  </si>
  <si>
    <t>4347</t>
  </si>
  <si>
    <t>IUSL</t>
  </si>
  <si>
    <t>895</t>
  </si>
  <si>
    <t>NORTH EAST</t>
  </si>
  <si>
    <t>600 PRINCIPIO PKWY W</t>
  </si>
  <si>
    <t>曾轩</t>
  </si>
  <si>
    <t>沃尔玛PHL5s</t>
  </si>
  <si>
    <t>898</t>
  </si>
  <si>
    <t>Greencastle</t>
  </si>
  <si>
    <t>1915 Ebberts Spg Ct</t>
  </si>
  <si>
    <t>17225</t>
  </si>
  <si>
    <t>LEJ3</t>
  </si>
  <si>
    <t>478</t>
  </si>
  <si>
    <t>Bielefelder Str. 9
Sulzetal, Saxony-Anhalt 39171
DE (LEJ3)</t>
  </si>
  <si>
    <t>39171</t>
  </si>
  <si>
    <t>LEJ5</t>
  </si>
  <si>
    <t>Amazon Fulfillment Center Am Steingarten 2
07554 GERA</t>
  </si>
  <si>
    <t>07554</t>
  </si>
  <si>
    <t>YDC5</t>
  </si>
  <si>
    <t>908</t>
  </si>
  <si>
    <t>SCARBOROUGH</t>
  </si>
  <si>
    <t>Amazon Canada Fulfillment Services, ULC
6351 STEELES AVE E ，SCARBOROUGH，ON
CA，M1X 1N5 YDC5</t>
  </si>
  <si>
    <t>M1X 1N5</t>
  </si>
  <si>
    <t>一件代发美西2号仓</t>
  </si>
  <si>
    <t>1-818-805-8515</t>
  </si>
  <si>
    <t>919</t>
  </si>
  <si>
    <t>5700 E Airport Drive Suite A,dock 1-6  
Ontario</t>
  </si>
  <si>
    <t>91761</t>
  </si>
  <si>
    <t>RYY2</t>
  </si>
  <si>
    <t>921</t>
  </si>
  <si>
    <t>White</t>
  </si>
  <si>
    <t>1250 Cassville White Road</t>
  </si>
  <si>
    <t>30184</t>
  </si>
  <si>
    <t>PBI3</t>
  </si>
  <si>
    <t>922</t>
  </si>
  <si>
    <t>Port St. Lucie</t>
  </si>
  <si>
    <t>7600 LTC Parkway</t>
  </si>
  <si>
    <t>34986</t>
  </si>
  <si>
    <t>美国海外仓</t>
  </si>
  <si>
    <t>大货中转</t>
  </si>
  <si>
    <t>DHZZ</t>
  </si>
  <si>
    <t>6666666666</t>
  </si>
  <si>
    <t>ADDRESS1</t>
  </si>
  <si>
    <t>IUSF</t>
  </si>
  <si>
    <t>930</t>
  </si>
  <si>
    <t>3351 Balmorhea Dr.</t>
  </si>
  <si>
    <t>KSF7</t>
  </si>
  <si>
    <t>945</t>
  </si>
  <si>
    <t>Amazon Services KSF7/VELE
Otto-Hahn-Strasse 3
Wolfhagen, Hesse 34466
DE</t>
  </si>
  <si>
    <t>34466</t>
  </si>
  <si>
    <t>沃尔玛PHL1s</t>
  </si>
  <si>
    <t>950</t>
  </si>
  <si>
    <t>3215 Commerce Center Blvd</t>
  </si>
  <si>
    <t>18015</t>
  </si>
  <si>
    <t>PBI2</t>
  </si>
  <si>
    <t>941</t>
  </si>
  <si>
    <t>JUPITER</t>
  </si>
  <si>
    <t>14680 Pk. of Commerce blvd</t>
  </si>
  <si>
    <t>33478</t>
  </si>
  <si>
    <t>SBD3</t>
  </si>
  <si>
    <t>947</t>
  </si>
  <si>
    <t>san bernardi</t>
  </si>
  <si>
    <t>5990 Cajon Blvd,San Bernardino</t>
  </si>
  <si>
    <t>92407</t>
  </si>
  <si>
    <t>沃尔玛DFW6s</t>
  </si>
  <si>
    <t>948</t>
  </si>
  <si>
    <t xml:space="preserve"> Fort Worth</t>
  </si>
  <si>
    <t>14700 Blue Mound Rd</t>
  </si>
  <si>
    <t>PPO4</t>
  </si>
  <si>
    <t>955</t>
  </si>
  <si>
    <t>Crown Point</t>
  </si>
  <si>
    <t>9850 Mississippi St, Crown Point</t>
  </si>
  <si>
    <t>POC3</t>
  </si>
  <si>
    <t>959</t>
  </si>
  <si>
    <t>JV</t>
  </si>
  <si>
    <t>6120 Clinker Drive</t>
  </si>
  <si>
    <t>92509</t>
  </si>
  <si>
    <t>李柱华</t>
  </si>
  <si>
    <t>45709.4800578704</t>
  </si>
  <si>
    <t>POC1</t>
  </si>
  <si>
    <t>960</t>
  </si>
  <si>
    <t>4121 LYTLE CREEK RD,92336-1123,FONTANA,CA</t>
  </si>
  <si>
    <t>92336</t>
  </si>
  <si>
    <t>45695.6547800926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</si>
</sst>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67">
    <font>
      <sz val="11"/>
      <name val="宋体"/>
      <charset val="134"/>
    </font>
    <font>
      <sz val="9"/>
      <name val="宋体"/>
      <charset val="1"/>
    </font>
    <font>
      <b/>
      <sz val="11"/>
      <color theme="9" tint="-0.499984740745262"/>
      <name val="宋体"/>
      <charset val="134"/>
    </font>
    <font>
      <sz val="11"/>
      <color theme="9" tint="-0.499984740745262"/>
      <name val="宋体"/>
      <charset val="134"/>
    </font>
    <font>
      <b/>
      <sz val="12"/>
      <color rgb="FFFFFFFF"/>
      <name val="宋体"/>
      <charset val="134"/>
      <scheme val="minor"/>
    </font>
    <font>
      <sz val="10"/>
      <color indexed="8"/>
      <name val="微软雅黑"/>
      <charset val="1"/>
    </font>
    <font>
      <b/>
      <sz val="11"/>
      <name val="宋体"/>
      <charset val="134"/>
    </font>
    <font>
      <sz val="10"/>
      <name val="微软雅黑"/>
      <charset val="134"/>
    </font>
    <font>
      <b/>
      <sz val="10"/>
      <name val="宋体"/>
      <charset val="134"/>
    </font>
    <font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theme="1"/>
      <name val="微软雅黑"/>
      <charset val="134"/>
    </font>
    <font>
      <sz val="11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FF0000"/>
      <name val="微软雅黑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b/>
      <sz val="26"/>
      <name val="微软雅黑"/>
      <charset val="134"/>
    </font>
    <font>
      <sz val="11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1"/>
      <color theme="0" tint="-0.35"/>
      <name val="微软雅黑"/>
      <charset val="134"/>
    </font>
    <font>
      <sz val="12"/>
      <color theme="0" tint="-0.35"/>
      <name val="微软雅黑"/>
      <charset val="134"/>
    </font>
    <font>
      <b/>
      <sz val="11"/>
      <color theme="1"/>
      <name val="微软雅黑"/>
      <charset val="134"/>
    </font>
    <font>
      <b/>
      <sz val="9"/>
      <color rgb="FFFF0000"/>
      <name val="微软雅黑"/>
      <charset val="134"/>
    </font>
    <font>
      <u/>
      <sz val="11"/>
      <color theme="0" tint="-0.35"/>
      <name val="宋体"/>
      <charset val="0"/>
      <scheme val="minor"/>
    </font>
    <font>
      <b/>
      <sz val="11"/>
      <color rgb="FFFF0000"/>
      <name val="微软雅黑"/>
      <charset val="134"/>
    </font>
    <font>
      <b/>
      <sz val="14"/>
      <color rgb="FF000000"/>
      <name val="微软雅黑"/>
      <charset val="134"/>
    </font>
    <font>
      <b/>
      <sz val="16"/>
      <color rgb="FF002F36"/>
      <name val="Arial"/>
      <charset val="134"/>
    </font>
    <font>
      <sz val="11"/>
      <color theme="0" tint="-0.5"/>
      <name val="微软雅黑"/>
      <charset val="134"/>
    </font>
    <font>
      <sz val="9.75"/>
      <color rgb="FF002F36"/>
      <name val="Arial"/>
      <charset val="134"/>
    </font>
    <font>
      <sz val="11"/>
      <color theme="1"/>
      <name val="宋体"/>
      <charset val="134"/>
      <scheme val="minor"/>
    </font>
    <font>
      <b/>
      <sz val="14"/>
      <color rgb="FFFF0000"/>
      <name val="微软雅黑"/>
      <charset val="134"/>
    </font>
    <font>
      <sz val="16"/>
      <name val="微软雅黑"/>
      <charset val="134"/>
    </font>
    <font>
      <b/>
      <sz val="16"/>
      <color rgb="FFFF0000"/>
      <name val="微软雅黑"/>
      <charset val="134"/>
    </font>
    <font>
      <sz val="2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4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sz val="9"/>
      <name val="宋体"/>
      <charset val="134"/>
    </font>
    <font>
      <sz val="16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9"/>
      </top>
      <bottom style="medium">
        <color theme="9"/>
      </bottom>
      <diagonal/>
    </border>
    <border>
      <left/>
      <right/>
      <top style="medium">
        <color theme="9"/>
      </top>
      <bottom/>
      <diagonal/>
    </border>
    <border>
      <left/>
      <right/>
      <top/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8" borderId="13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9" borderId="16" applyNumberFormat="0" applyAlignment="0" applyProtection="0">
      <alignment vertical="center"/>
    </xf>
    <xf numFmtId="0" fontId="49" fillId="10" borderId="17" applyNumberFormat="0" applyAlignment="0" applyProtection="0">
      <alignment vertical="center"/>
    </xf>
    <xf numFmtId="0" fontId="50" fillId="10" borderId="16" applyNumberFormat="0" applyAlignment="0" applyProtection="0">
      <alignment vertical="center"/>
    </xf>
    <xf numFmtId="0" fontId="51" fillId="11" borderId="18" applyNumberFormat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left" vertical="center"/>
    </xf>
    <xf numFmtId="176" fontId="3" fillId="2" borderId="0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0" borderId="3" xfId="0" applyNumberFormat="1" applyFont="1" applyFill="1" applyBorder="1" applyAlignment="1">
      <alignment horizontal="left" vertical="center"/>
    </xf>
    <xf numFmtId="176" fontId="3" fillId="0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3" borderId="4" xfId="0" applyNumberFormat="1" applyFont="1" applyFill="1" applyBorder="1" applyAlignment="1">
      <alignment horizontal="left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4" xfId="0" applyFont="1" applyBorder="1">
      <alignment vertical="center"/>
    </xf>
    <xf numFmtId="0" fontId="6" fillId="0" borderId="8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left" vertical="center"/>
    </xf>
    <xf numFmtId="0" fontId="10" fillId="4" borderId="9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4" borderId="4" xfId="0" applyFill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 applyProtection="1">
      <alignment horizontal="left" vertical="center"/>
      <protection locked="0"/>
    </xf>
    <xf numFmtId="0" fontId="1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1" fillId="0" borderId="0" xfId="0" applyNumberFormat="1" applyFont="1" applyBorder="1" applyAlignment="1">
      <alignment horizontal="left" vertical="center"/>
    </xf>
    <xf numFmtId="0" fontId="1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NumberFormat="1">
      <alignment vertical="center"/>
    </xf>
    <xf numFmtId="0" fontId="15" fillId="6" borderId="4" xfId="0" applyNumberFormat="1" applyFont="1" applyFill="1" applyBorder="1" applyAlignment="1" applyProtection="1">
      <alignment horizontal="left" vertical="center"/>
    </xf>
    <xf numFmtId="0" fontId="16" fillId="0" borderId="4" xfId="0" applyNumberFormat="1" applyFont="1" applyFill="1" applyBorder="1" applyAlignment="1" applyProtection="1">
      <alignment horizontal="left" vertical="center"/>
      <protection locked="0"/>
    </xf>
    <xf numFmtId="0" fontId="17" fillId="4" borderId="4" xfId="0" applyNumberFormat="1" applyFont="1" applyFill="1" applyBorder="1" applyAlignment="1" applyProtection="1">
      <alignment horizontal="left" vertical="center"/>
    </xf>
    <xf numFmtId="0" fontId="17" fillId="0" borderId="4" xfId="0" applyNumberFormat="1" applyFont="1" applyFill="1" applyBorder="1" applyAlignment="1" applyProtection="1">
      <alignment horizontal="left" vertical="center"/>
      <protection locked="0"/>
    </xf>
    <xf numFmtId="0" fontId="18" fillId="7" borderId="4" xfId="0" applyNumberFormat="1" applyFont="1" applyFill="1" applyBorder="1" applyAlignment="1" applyProtection="1">
      <alignment horizontal="left" vertical="center"/>
      <protection locked="0"/>
    </xf>
    <xf numFmtId="0" fontId="14" fillId="0" borderId="4" xfId="0" applyNumberFormat="1" applyFont="1" applyFill="1" applyBorder="1" applyAlignment="1" applyProtection="1">
      <alignment horizontal="left" vertical="center"/>
      <protection locked="0"/>
    </xf>
    <xf numFmtId="0" fontId="19" fillId="0" borderId="0" xfId="0" applyNumberFormat="1" applyFont="1" applyFill="1" applyBorder="1" applyAlignment="1" applyProtection="1">
      <alignment horizontal="left" vertical="center"/>
    </xf>
    <xf numFmtId="0" fontId="20" fillId="0" borderId="0" xfId="0" applyNumberFormat="1" applyFont="1" applyFill="1" applyBorder="1" applyAlignment="1" applyProtection="1">
      <alignment horizontal="left" vertical="center" wrapText="1"/>
    </xf>
    <xf numFmtId="0" fontId="17" fillId="6" borderId="4" xfId="0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21" fillId="4" borderId="0" xfId="0" applyNumberFormat="1" applyFont="1" applyFill="1" applyAlignment="1" applyProtection="1">
      <alignment horizontal="center" vertical="center" wrapText="1"/>
    </xf>
    <xf numFmtId="0" fontId="22" fillId="0" borderId="4" xfId="0" applyNumberFormat="1" applyFont="1" applyFill="1" applyBorder="1" applyAlignment="1">
      <alignment horizontal="left" vertical="center"/>
    </xf>
    <xf numFmtId="0" fontId="23" fillId="0" borderId="4" xfId="0" applyNumberFormat="1" applyFont="1" applyFill="1" applyBorder="1" applyAlignment="1" applyProtection="1">
      <alignment horizontal="left" vertical="center"/>
      <protection locked="0"/>
    </xf>
    <xf numFmtId="0" fontId="24" fillId="0" borderId="0" xfId="0" applyNumberFormat="1" applyFont="1" applyFill="1" applyAlignment="1" applyProtection="1">
      <alignment vertical="center" wrapText="1"/>
    </xf>
    <xf numFmtId="0" fontId="25" fillId="0" borderId="4" xfId="0" applyNumberFormat="1" applyFont="1" applyFill="1" applyBorder="1" applyAlignment="1">
      <alignment horizontal="left" vertical="center"/>
    </xf>
    <xf numFmtId="0" fontId="15" fillId="0" borderId="4" xfId="0" applyNumberFormat="1" applyFont="1" applyFill="1" applyBorder="1" applyAlignment="1" applyProtection="1">
      <alignment horizontal="left" vertical="center"/>
      <protection locked="0"/>
    </xf>
    <xf numFmtId="0" fontId="26" fillId="0" borderId="4" xfId="0" applyNumberFormat="1" applyFont="1" applyFill="1" applyBorder="1" applyAlignment="1" applyProtection="1">
      <alignment horizontal="left" vertical="center"/>
      <protection locked="0"/>
    </xf>
    <xf numFmtId="0" fontId="15" fillId="4" borderId="4" xfId="0" applyNumberFormat="1" applyFont="1" applyFill="1" applyBorder="1" applyAlignment="1" applyProtection="1">
      <alignment horizontal="left" vertical="center"/>
    </xf>
    <xf numFmtId="0" fontId="27" fillId="0" borderId="4" xfId="0" applyNumberFormat="1" applyFont="1" applyFill="1" applyBorder="1" applyAlignment="1">
      <alignment horizontal="left" vertical="center"/>
    </xf>
    <xf numFmtId="0" fontId="14" fillId="0" borderId="4" xfId="0" applyNumberFormat="1" applyFont="1" applyFill="1" applyBorder="1" applyAlignment="1">
      <alignment horizontal="left" vertical="center"/>
    </xf>
    <xf numFmtId="0" fontId="25" fillId="0" borderId="4" xfId="0" applyNumberFormat="1" applyFont="1" applyFill="1" applyBorder="1" applyAlignment="1"/>
    <xf numFmtId="0" fontId="20" fillId="0" borderId="0" xfId="0" applyNumberFormat="1" applyFont="1" applyFill="1" applyBorder="1" applyAlignment="1" applyProtection="1">
      <alignment horizontal="left" vertical="center"/>
      <protection locked="0"/>
    </xf>
    <xf numFmtId="0" fontId="28" fillId="0" borderId="0" xfId="0" applyNumberFormat="1" applyFont="1" applyFill="1" applyAlignment="1" applyProtection="1">
      <alignment horizontal="center" vertical="center" wrapText="1"/>
      <protection locked="0"/>
    </xf>
    <xf numFmtId="0" fontId="29" fillId="0" borderId="4" xfId="6" applyNumberFormat="1" applyFont="1" applyFill="1" applyBorder="1" applyAlignment="1" applyProtection="1">
      <alignment horizontal="left" vertical="center"/>
      <protection locked="0"/>
    </xf>
    <xf numFmtId="0" fontId="30" fillId="0" borderId="0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Alignment="1" applyProtection="1">
      <alignment horizontal="left" vertical="center"/>
      <protection locked="0"/>
    </xf>
    <xf numFmtId="0" fontId="15" fillId="6" borderId="4" xfId="0" applyNumberFormat="1" applyFont="1" applyFill="1" applyBorder="1" applyAlignment="1" applyProtection="1">
      <alignment horizontal="left" vertical="center" wrapText="1"/>
      <protection locked="0"/>
    </xf>
    <xf numFmtId="0" fontId="3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2" fillId="0" borderId="0" xfId="0" applyNumberFormat="1" applyFont="1" applyAlignment="1">
      <alignment horizontal="left" vertical="center" wrapText="1"/>
    </xf>
    <xf numFmtId="0" fontId="17" fillId="0" borderId="0" xfId="0" applyNumberFormat="1" applyFont="1" applyFill="1" applyBorder="1" applyAlignment="1" applyProtection="1">
      <alignment horizontal="left" vertical="center"/>
      <protection locked="0"/>
    </xf>
    <xf numFmtId="0" fontId="12" fillId="6" borderId="8" xfId="0" applyNumberFormat="1" applyFont="1" applyFill="1" applyBorder="1" applyAlignment="1" applyProtection="1">
      <alignment horizontal="left" vertical="center" wrapText="1"/>
    </xf>
    <xf numFmtId="0" fontId="12" fillId="4" borderId="8" xfId="0" applyNumberFormat="1" applyFont="1" applyFill="1" applyBorder="1" applyAlignment="1" applyProtection="1">
      <alignment horizontal="left" vertical="center" wrapText="1"/>
    </xf>
    <xf numFmtId="0" fontId="33" fillId="0" borderId="4" xfId="0" applyNumberFormat="1" applyFont="1" applyFill="1" applyBorder="1" applyAlignment="1" applyProtection="1">
      <alignment horizontal="left" vertical="center"/>
      <protection locked="0"/>
    </xf>
    <xf numFmtId="0" fontId="34" fillId="0" borderId="4" xfId="0" applyNumberFormat="1" applyFont="1" applyBorder="1">
      <alignment vertical="center"/>
    </xf>
    <xf numFmtId="0" fontId="13" fillId="0" borderId="4" xfId="0" applyNumberFormat="1" applyFont="1" applyFill="1" applyBorder="1" applyAlignment="1">
      <alignment horizontal="center"/>
    </xf>
    <xf numFmtId="0" fontId="35" fillId="0" borderId="4" xfId="0" applyNumberFormat="1" applyFont="1" applyFill="1" applyBorder="1" applyAlignment="1"/>
    <xf numFmtId="0" fontId="13" fillId="0" borderId="4" xfId="0" applyNumberFormat="1" applyFont="1" applyFill="1" applyBorder="1" applyAlignment="1">
      <alignment horizontal="left"/>
    </xf>
    <xf numFmtId="0" fontId="14" fillId="0" borderId="12" xfId="0" applyNumberFormat="1" applyFont="1" applyFill="1" applyBorder="1" applyAlignment="1" applyProtection="1">
      <alignment horizontal="left" vertical="center"/>
      <protection locked="0"/>
    </xf>
    <xf numFmtId="0" fontId="30" fillId="0" borderId="0" xfId="0" applyNumberFormat="1" applyFont="1" applyFill="1" applyBorder="1" applyAlignment="1" applyProtection="1">
      <alignment horizontal="left" vertical="center" wrapText="1"/>
    </xf>
    <xf numFmtId="0" fontId="36" fillId="0" borderId="0" xfId="0" applyNumberFormat="1" applyFont="1" applyFill="1" applyBorder="1" applyAlignment="1" applyProtection="1">
      <alignment horizontal="left" vertical="center"/>
    </xf>
    <xf numFmtId="0" fontId="30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7" fillId="6" borderId="8" xfId="0" applyNumberFormat="1" applyFont="1" applyFill="1" applyBorder="1" applyAlignment="1" applyProtection="1">
      <alignment horizontal="left" vertical="center" wrapText="1"/>
    </xf>
    <xf numFmtId="0" fontId="36" fillId="0" borderId="0" xfId="0" applyNumberFormat="1" applyFont="1" applyFill="1" applyBorder="1" applyAlignment="1" applyProtection="1">
      <alignment horizontal="left" vertical="center"/>
      <protection locked="0"/>
    </xf>
    <xf numFmtId="0" fontId="38" fillId="0" borderId="0" xfId="0" applyNumberFormat="1" applyFont="1" applyFill="1" applyBorder="1" applyAlignment="1" applyProtection="1">
      <alignment horizontal="left" vertical="center"/>
      <protection locked="0"/>
    </xf>
    <xf numFmtId="0" fontId="20" fillId="6" borderId="8" xfId="0" applyNumberFormat="1" applyFont="1" applyFill="1" applyBorder="1" applyAlignment="1" applyProtection="1">
      <alignment horizontal="left" vertical="center" wrapText="1"/>
      <protection locked="0"/>
    </xf>
    <xf numFmtId="0" fontId="3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3" fillId="0" borderId="4" xfId="0" applyNumberFormat="1" applyFont="1" applyFill="1" applyBorder="1" applyAlignment="1" applyProtection="1">
      <alignment horizontal="left" vertical="center"/>
    </xf>
    <xf numFmtId="0" fontId="14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14" fillId="0" borderId="12" xfId="0" applyNumberFormat="1" applyFont="1" applyFill="1" applyBorder="1" applyAlignment="1" applyProtection="1">
      <alignment horizontal="left" vertical="center"/>
    </xf>
    <xf numFmtId="0" fontId="39" fillId="0" borderId="0" xfId="0" applyNumberFormat="1" applyFont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  <protection locked="0"/>
    </xf>
    <xf numFmtId="0" fontId="35" fillId="0" borderId="0" xfId="0" applyNumberFormat="1" applyFont="1" applyFill="1" applyBorder="1" applyAlignment="1"/>
    <xf numFmtId="176" fontId="3" fillId="2" borderId="0" xfId="0" applyNumberFormat="1" applyFont="1" applyFill="1" applyBorder="1" applyAlignment="1" quotePrefix="1">
      <alignment horizontal="left" vertical="center"/>
    </xf>
    <xf numFmtId="176" fontId="3" fillId="0" borderId="3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FF"/>
      <color rgb="00C00000"/>
      <color rgb="0000B0F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21590</xdr:colOff>
      <xdr:row>2</xdr:row>
      <xdr:rowOff>18415</xdr:rowOff>
    </xdr:from>
    <xdr:to>
      <xdr:col>14</xdr:col>
      <xdr:colOff>0</xdr:colOff>
      <xdr:row>14</xdr:row>
      <xdr:rowOff>155575</xdr:rowOff>
    </xdr:to>
    <xdr:pic>
      <xdr:nvPicPr>
        <xdr:cNvPr id="5" name="图片 4" descr="0944c808d8fd3bc27edbd51a1b582c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79380" y="728345"/>
          <a:ext cx="6153150" cy="4498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0</xdr:row>
      <xdr:rowOff>635</xdr:rowOff>
    </xdr:from>
    <xdr:to>
      <xdr:col>18</xdr:col>
      <xdr:colOff>109855</xdr:colOff>
      <xdr:row>45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635"/>
          <a:ext cx="11218545" cy="8334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zlbc@ytad-logistics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8"/>
  <sheetViews>
    <sheetView tabSelected="1" zoomScale="85" zoomScaleNormal="85" workbookViewId="0">
      <selection activeCell="E14" sqref="E14"/>
    </sheetView>
  </sheetViews>
  <sheetFormatPr defaultColWidth="9" defaultRowHeight="18" customHeight="1"/>
  <cols>
    <col min="1" max="1" width="31.7685185185185" style="44" customWidth="1"/>
    <col min="2" max="2" width="29.2777777777778" style="44" customWidth="1"/>
    <col min="3" max="3" width="31.7592592592593" style="44" customWidth="1"/>
    <col min="4" max="4" width="24.3796296296296" style="44" customWidth="1"/>
    <col min="5" max="5" width="16.1296296296296" style="44" customWidth="1"/>
    <col min="6" max="7" width="16.2592592592593" style="44" customWidth="1"/>
    <col min="8" max="13" width="9.37962962962963" style="44" customWidth="1"/>
    <col min="14" max="14" width="17.5" style="44" customWidth="1"/>
    <col min="15" max="17" width="9.37962962962963" style="44" customWidth="1"/>
    <col min="18" max="18" width="15.2592592592593" style="44" customWidth="1"/>
    <col min="19" max="19" width="14.1296296296296" style="44" customWidth="1"/>
    <col min="20" max="21" width="13" style="44" customWidth="1"/>
    <col min="22" max="22" width="9" style="45"/>
    <col min="23" max="16384" width="9" style="44"/>
  </cols>
  <sheetData>
    <row r="1" s="39" customFormat="1" ht="27.95" customHeight="1" spans="1:20">
      <c r="A1" s="46" t="s">
        <v>0</v>
      </c>
      <c r="B1" s="47" t="s">
        <v>1</v>
      </c>
      <c r="C1" s="48" t="s">
        <v>2</v>
      </c>
      <c r="D1" s="49"/>
      <c r="E1" s="50" t="s">
        <v>3</v>
      </c>
      <c r="F1" s="51"/>
      <c r="G1" s="52" t="s">
        <v>4</v>
      </c>
      <c r="H1" s="53"/>
      <c r="I1" s="53"/>
      <c r="J1" s="53"/>
      <c r="K1" s="53"/>
      <c r="L1" s="53"/>
      <c r="M1" s="53"/>
      <c r="N1" s="84"/>
      <c r="O1" s="84"/>
      <c r="P1" s="84"/>
      <c r="Q1" s="84"/>
      <c r="R1" s="84"/>
      <c r="S1" s="84"/>
      <c r="T1" s="40"/>
    </row>
    <row r="2" s="39" customFormat="1" ht="27.95" customHeight="1" spans="1:20">
      <c r="A2" s="46" t="s">
        <v>5</v>
      </c>
      <c r="B2" s="47" t="s">
        <v>6</v>
      </c>
      <c r="C2" s="54" t="s">
        <v>7</v>
      </c>
      <c r="D2" s="49" t="s">
        <v>8</v>
      </c>
      <c r="E2" s="55" t="s">
        <v>9</v>
      </c>
      <c r="F2" s="55"/>
      <c r="G2" s="56" t="s">
        <v>10</v>
      </c>
      <c r="H2" s="56"/>
      <c r="I2" s="56"/>
      <c r="J2" s="56"/>
      <c r="K2" s="56"/>
      <c r="L2" s="56"/>
      <c r="M2" s="56"/>
      <c r="N2" s="56"/>
      <c r="O2" s="85"/>
      <c r="P2" s="85"/>
      <c r="Q2" s="85"/>
      <c r="R2" s="85"/>
      <c r="S2" s="85"/>
      <c r="T2" s="88"/>
    </row>
    <row r="3" s="39" customFormat="1" ht="36" customHeight="1" spans="1:11">
      <c r="A3" s="46" t="s">
        <v>11</v>
      </c>
      <c r="B3" s="57"/>
      <c r="C3" s="54" t="s">
        <v>12</v>
      </c>
      <c r="D3" s="58" t="s">
        <v>13</v>
      </c>
      <c r="E3" s="55"/>
      <c r="F3" s="55"/>
      <c r="G3" s="59"/>
      <c r="H3" s="59"/>
      <c r="I3" s="59"/>
      <c r="J3" s="59"/>
      <c r="K3" s="59"/>
    </row>
    <row r="4" s="39" customFormat="1" ht="27.95" customHeight="1" spans="1:20">
      <c r="A4" s="46" t="s">
        <v>14</v>
      </c>
      <c r="B4" s="47" t="s">
        <v>15</v>
      </c>
      <c r="C4" s="48" t="s">
        <v>16</v>
      </c>
      <c r="D4" s="60" t="s">
        <v>17</v>
      </c>
      <c r="E4" s="55"/>
      <c r="F4" s="55"/>
      <c r="G4" s="59"/>
      <c r="H4" s="59"/>
      <c r="I4" s="59"/>
      <c r="J4" s="59"/>
      <c r="K4" s="59"/>
      <c r="L4" s="40"/>
      <c r="M4" s="40"/>
      <c r="N4" s="40"/>
      <c r="O4" s="40"/>
      <c r="P4" s="40"/>
      <c r="Q4" s="40"/>
      <c r="R4" s="40"/>
      <c r="S4" s="40"/>
      <c r="T4" s="40"/>
    </row>
    <row r="5" s="39" customFormat="1" ht="27.95" customHeight="1" spans="1:20">
      <c r="A5" s="46" t="s">
        <v>18</v>
      </c>
      <c r="B5" s="61" t="s">
        <v>19</v>
      </c>
      <c r="C5" s="48" t="s">
        <v>20</v>
      </c>
      <c r="D5" s="62" t="s">
        <v>21</v>
      </c>
      <c r="E5" s="55"/>
      <c r="F5" s="55"/>
      <c r="G5" s="59"/>
      <c r="H5" s="59"/>
      <c r="I5" s="59"/>
      <c r="J5" s="59"/>
      <c r="K5" s="59"/>
      <c r="L5" s="40"/>
      <c r="M5" s="40"/>
      <c r="N5" s="40"/>
      <c r="O5" s="40"/>
      <c r="P5" s="40"/>
      <c r="Q5" s="40"/>
      <c r="R5" s="40"/>
      <c r="S5" s="40"/>
      <c r="T5" s="40"/>
    </row>
    <row r="6" s="39" customFormat="1" ht="27.95" customHeight="1" spans="1:20">
      <c r="A6" s="46" t="s">
        <v>22</v>
      </c>
      <c r="B6" t="s">
        <v>23</v>
      </c>
      <c r="C6" s="48" t="s">
        <v>24</v>
      </c>
      <c r="D6" s="60" t="s">
        <v>25</v>
      </c>
      <c r="E6" s="55"/>
      <c r="F6" s="55"/>
      <c r="G6" s="59"/>
      <c r="H6" s="59"/>
      <c r="I6" s="59"/>
      <c r="J6" s="59"/>
      <c r="K6" s="59"/>
      <c r="L6" s="86"/>
      <c r="M6" s="86"/>
      <c r="N6" s="86"/>
      <c r="O6" s="86"/>
      <c r="P6" s="86"/>
      <c r="Q6" s="86"/>
      <c r="R6" s="86"/>
      <c r="S6" s="86"/>
      <c r="T6" s="86"/>
    </row>
    <row r="7" s="39" customFormat="1" ht="27.95" customHeight="1" spans="1:20">
      <c r="A7" s="46" t="s">
        <v>26</v>
      </c>
      <c r="B7" s="47" t="s">
        <v>27</v>
      </c>
      <c r="C7" s="48" t="s">
        <v>28</v>
      </c>
      <c r="D7" s="60" t="s">
        <v>25</v>
      </c>
      <c r="E7" s="55"/>
      <c r="F7" s="55"/>
      <c r="G7" s="59"/>
      <c r="H7" s="59"/>
      <c r="I7" s="59"/>
      <c r="J7" s="59"/>
      <c r="K7" s="59"/>
      <c r="L7" s="67"/>
      <c r="M7" s="67"/>
      <c r="N7" s="67"/>
      <c r="O7" s="67"/>
      <c r="P7" s="67"/>
      <c r="Q7" s="67"/>
      <c r="R7" s="67"/>
      <c r="S7" s="67"/>
      <c r="T7" s="67"/>
    </row>
    <row r="8" s="39" customFormat="1" ht="27.95" customHeight="1" spans="1:20">
      <c r="A8" s="63" t="s">
        <v>29</v>
      </c>
      <c r="B8" s="64" t="str">
        <f>B6</f>
        <v>ONT8</v>
      </c>
      <c r="C8" s="48" t="s">
        <v>30</v>
      </c>
      <c r="D8" s="60" t="s">
        <v>25</v>
      </c>
      <c r="E8" s="55"/>
      <c r="F8" s="55"/>
      <c r="G8" s="59"/>
      <c r="H8" s="59"/>
      <c r="I8" s="59"/>
      <c r="J8" s="59"/>
      <c r="K8" s="59"/>
      <c r="L8" s="67"/>
      <c r="M8" s="67"/>
      <c r="O8" s="67"/>
      <c r="P8" s="67"/>
      <c r="Q8" s="67"/>
      <c r="R8" s="67"/>
      <c r="S8" s="67"/>
      <c r="T8" s="67"/>
    </row>
    <row r="9" s="39" customFormat="1" ht="27.95" customHeight="1" spans="1:20">
      <c r="A9" s="48" t="s">
        <v>31</v>
      </c>
      <c r="B9" s="65" t="str">
        <f>VLOOKUP($B$6,地址库!1:1048576,2,0)</f>
        <v>Amazon</v>
      </c>
      <c r="C9" s="48" t="s">
        <v>32</v>
      </c>
      <c r="D9" s="60" t="s">
        <v>25</v>
      </c>
      <c r="E9" s="55"/>
      <c r="F9" s="55"/>
      <c r="G9" s="59"/>
      <c r="H9" s="59"/>
      <c r="I9" s="59"/>
      <c r="J9" s="59"/>
      <c r="K9" s="59"/>
      <c r="L9" s="67"/>
      <c r="M9" s="67"/>
      <c r="N9" s="67"/>
      <c r="O9" s="67"/>
      <c r="P9" s="67"/>
      <c r="Q9" s="67"/>
      <c r="R9" s="67"/>
      <c r="S9" s="67"/>
      <c r="T9" s="67"/>
    </row>
    <row r="10" s="39" customFormat="1" ht="27.95" customHeight="1" spans="1:20">
      <c r="A10" s="48" t="s">
        <v>33</v>
      </c>
      <c r="B10" s="65" t="str">
        <f>VLOOKUP($B$6,地址库!1:1048576,2,0)</f>
        <v>Amazon</v>
      </c>
      <c r="C10" s="48" t="s">
        <v>34</v>
      </c>
      <c r="D10" s="60" t="s">
        <v>35</v>
      </c>
      <c r="E10" s="55"/>
      <c r="F10" s="55"/>
      <c r="G10" s="59"/>
      <c r="H10" s="59"/>
      <c r="I10" s="59"/>
      <c r="J10" s="59"/>
      <c r="K10" s="59"/>
      <c r="L10" s="67"/>
      <c r="M10" s="67"/>
      <c r="N10" s="67"/>
      <c r="O10" s="67"/>
      <c r="P10" s="67"/>
      <c r="Q10" s="67"/>
      <c r="R10" s="67"/>
      <c r="S10" s="67"/>
      <c r="T10" s="67"/>
    </row>
    <row r="11" s="39" customFormat="1" ht="27.95" customHeight="1" spans="1:20">
      <c r="A11" s="48" t="s">
        <v>36</v>
      </c>
      <c r="B11" s="65" t="str">
        <f>VLOOKUP($B$6,地址库!1:1048576,7,0)</f>
        <v>8888888888</v>
      </c>
      <c r="C11" s="48" t="s">
        <v>37</v>
      </c>
      <c r="D11" s="66" t="s">
        <v>38</v>
      </c>
      <c r="E11" s="55"/>
      <c r="F11" s="55"/>
      <c r="G11" s="67"/>
      <c r="H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</row>
    <row r="12" s="39" customFormat="1" ht="27.95" customHeight="1" spans="1:20">
      <c r="A12" s="54" t="s">
        <v>39</v>
      </c>
      <c r="B12" s="65" t="str">
        <f>VLOOKUP($B$6,地址库!1:1048576,17,0)</f>
        <v>92551</v>
      </c>
      <c r="C12" s="48" t="s">
        <v>40</v>
      </c>
      <c r="D12" s="62"/>
      <c r="E12" s="68" t="s">
        <v>41</v>
      </c>
      <c r="F12" s="68"/>
      <c r="G12" s="67"/>
      <c r="H12" s="67"/>
      <c r="I12" s="67"/>
      <c r="J12" s="67"/>
      <c r="K12" s="67"/>
      <c r="L12" s="67"/>
      <c r="M12" s="67"/>
      <c r="O12" s="67"/>
      <c r="P12" s="67"/>
      <c r="Q12" s="67"/>
      <c r="R12" s="67"/>
      <c r="S12" s="67"/>
      <c r="T12" s="67"/>
    </row>
    <row r="13" s="39" customFormat="1" ht="27.95" customHeight="1" spans="1:20">
      <c r="A13" s="48" t="s">
        <v>42</v>
      </c>
      <c r="B13" s="65" t="str">
        <f>VLOOKUP($B$6,地址库!1:1048576,10,0)</f>
        <v>CA</v>
      </c>
      <c r="C13" s="48" t="s">
        <v>43</v>
      </c>
      <c r="D13" s="69" t="s">
        <v>44</v>
      </c>
      <c r="E13" s="70" t="s">
        <v>45</v>
      </c>
      <c r="F13" s="71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</row>
    <row r="14" s="39" customFormat="1" ht="27.95" customHeight="1" spans="1:20">
      <c r="A14" s="48" t="s">
        <v>46</v>
      </c>
      <c r="B14" s="65" t="str">
        <f>VLOOKUP($B$6,地址库!1:1048576,12,0)</f>
        <v>MORENO VALLEY</v>
      </c>
      <c r="C14" s="61" t="s">
        <v>47</v>
      </c>
      <c r="D14" s="49"/>
      <c r="F14" s="71"/>
      <c r="G14" s="67"/>
      <c r="H14" s="67"/>
      <c r="I14" s="67"/>
      <c r="J14" s="67"/>
      <c r="L14" s="67"/>
      <c r="M14" s="67"/>
      <c r="N14" s="67"/>
      <c r="O14" s="67"/>
      <c r="P14" s="67"/>
      <c r="Q14" s="67"/>
      <c r="R14" s="67"/>
      <c r="S14" s="67"/>
      <c r="T14" s="67"/>
    </row>
    <row r="15" s="39" customFormat="1" ht="27.95" customHeight="1" spans="1:20">
      <c r="A15" s="48" t="s">
        <v>48</v>
      </c>
      <c r="B15" s="65" t="str">
        <f>VLOOKUP($B$6,地址库!1:1048576,14,0)</f>
        <v>24300 Nandina Ave</v>
      </c>
      <c r="C15" s="72" t="s">
        <v>49</v>
      </c>
      <c r="D15" s="73"/>
      <c r="F15" s="71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</row>
    <row r="16" s="39" customFormat="1" ht="27.95" customHeight="1" spans="1:21">
      <c r="A16" s="46" t="s">
        <v>50</v>
      </c>
      <c r="B16" s="74">
        <v>5</v>
      </c>
      <c r="C16" s="75"/>
      <c r="D16" s="49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89" t="s">
        <v>51</v>
      </c>
      <c r="U16" s="89" t="s">
        <v>51</v>
      </c>
    </row>
    <row r="17" s="40" customFormat="1" ht="69" customHeight="1" spans="1:26">
      <c r="A17" s="76" t="s">
        <v>52</v>
      </c>
      <c r="B17" s="77" t="s">
        <v>53</v>
      </c>
      <c r="C17" s="76" t="s">
        <v>54</v>
      </c>
      <c r="D17" s="76" t="s">
        <v>55</v>
      </c>
      <c r="E17" s="76" t="s">
        <v>56</v>
      </c>
      <c r="F17" s="76" t="s">
        <v>57</v>
      </c>
      <c r="G17" s="76" t="s">
        <v>58</v>
      </c>
      <c r="H17" s="76" t="s">
        <v>59</v>
      </c>
      <c r="I17" s="87" t="s">
        <v>60</v>
      </c>
      <c r="J17" s="76" t="s">
        <v>61</v>
      </c>
      <c r="K17" s="76" t="s">
        <v>62</v>
      </c>
      <c r="L17" s="76" t="s">
        <v>63</v>
      </c>
      <c r="M17" s="76" t="s">
        <v>64</v>
      </c>
      <c r="N17" s="76" t="s">
        <v>65</v>
      </c>
      <c r="O17" s="77" t="s">
        <v>66</v>
      </c>
      <c r="P17" s="77" t="s">
        <v>67</v>
      </c>
      <c r="Q17" s="77" t="s">
        <v>68</v>
      </c>
      <c r="R17" s="77" t="s">
        <v>69</v>
      </c>
      <c r="S17" s="77" t="s">
        <v>70</v>
      </c>
      <c r="T17" s="90" t="s">
        <v>71</v>
      </c>
      <c r="U17" s="90" t="s">
        <v>72</v>
      </c>
      <c r="V17" s="90" t="s">
        <v>73</v>
      </c>
      <c r="W17" s="77" t="s">
        <v>74</v>
      </c>
      <c r="X17" s="77" t="s">
        <v>75</v>
      </c>
      <c r="Y17" s="77" t="s">
        <v>76</v>
      </c>
      <c r="Z17" s="77" t="s">
        <v>77</v>
      </c>
    </row>
    <row r="18" s="41" customFormat="1" ht="31" customHeight="1" spans="1:256">
      <c r="A18" s="78" t="s">
        <v>78</v>
      </c>
      <c r="B18" s="78" t="s">
        <v>79</v>
      </c>
      <c r="C18" s="78" t="s">
        <v>80</v>
      </c>
      <c r="D18" s="78" t="s">
        <v>81</v>
      </c>
      <c r="E18" s="78" t="s">
        <v>82</v>
      </c>
      <c r="F18" s="78" t="s">
        <v>83</v>
      </c>
      <c r="G18" s="78">
        <v>3922100000</v>
      </c>
      <c r="H18" s="78" t="s">
        <v>84</v>
      </c>
      <c r="I18" s="78">
        <v>10</v>
      </c>
      <c r="J18" s="78">
        <v>5</v>
      </c>
      <c r="K18" s="78" t="s">
        <v>85</v>
      </c>
      <c r="L18" s="78">
        <v>10</v>
      </c>
      <c r="M18" s="78">
        <v>0.8</v>
      </c>
      <c r="N18" s="78"/>
      <c r="O18" s="78" t="s">
        <v>86</v>
      </c>
      <c r="P18" s="78" t="s">
        <v>86</v>
      </c>
      <c r="Q18" s="78" t="s">
        <v>86</v>
      </c>
      <c r="R18" s="78"/>
      <c r="S18" s="91" t="s">
        <v>87</v>
      </c>
      <c r="T18" s="92">
        <f>I18*J18</f>
        <v>50</v>
      </c>
      <c r="U18" s="92">
        <f>T18*L18</f>
        <v>500</v>
      </c>
      <c r="V18" s="91" t="s">
        <v>87</v>
      </c>
      <c r="W18" s="78" t="s">
        <v>88</v>
      </c>
      <c r="X18" s="78" t="s">
        <v>89</v>
      </c>
      <c r="Y18" s="78" t="s">
        <v>90</v>
      </c>
      <c r="Z18" s="78" t="s">
        <v>91</v>
      </c>
      <c r="IV18" s="97"/>
    </row>
    <row r="19" s="41" customFormat="1" ht="31" customHeight="1" spans="1:256">
      <c r="A19" s="79"/>
      <c r="B19" s="79"/>
      <c r="C19" s="80"/>
      <c r="D19" s="80"/>
      <c r="E19" s="81"/>
      <c r="F19" s="80"/>
      <c r="G19" s="82"/>
      <c r="H19" s="80"/>
      <c r="I19" s="80"/>
      <c r="J19" s="80"/>
      <c r="K19" s="80"/>
      <c r="L19" s="80"/>
      <c r="M19" s="80"/>
      <c r="N19" s="82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IV19" s="97"/>
    </row>
    <row r="20" s="41" customFormat="1" ht="31" customHeight="1" spans="1:26">
      <c r="A20" s="79"/>
      <c r="B20" s="79"/>
      <c r="C20" s="80"/>
      <c r="D20" s="80"/>
      <c r="E20" s="81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="41" customFormat="1" ht="31" customHeight="1" spans="1:26">
      <c r="A21" s="79"/>
      <c r="B21" s="79"/>
      <c r="C21" s="80"/>
      <c r="D21" s="80"/>
      <c r="E21" s="81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="42" customFormat="1" ht="77.1" customHeight="1" spans="1:254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43"/>
      <c r="S22" s="93"/>
      <c r="T22" s="94"/>
      <c r="U22" s="94"/>
      <c r="V22" s="93"/>
      <c r="W22" s="83"/>
      <c r="X22" s="83"/>
      <c r="Y22" s="83"/>
      <c r="Z22" s="83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96"/>
      <c r="GG22" s="96"/>
      <c r="GH22" s="96"/>
      <c r="GI22" s="96"/>
      <c r="GJ22" s="96"/>
      <c r="GK22" s="96"/>
      <c r="GL22" s="96"/>
      <c r="GM22" s="96"/>
      <c r="GN22" s="96"/>
      <c r="GO22" s="96"/>
      <c r="GP22" s="96"/>
      <c r="GQ22" s="96"/>
      <c r="GR22" s="96"/>
      <c r="GS22" s="96"/>
      <c r="GT22" s="96"/>
      <c r="GU22" s="96"/>
      <c r="GV22" s="96"/>
      <c r="GW22" s="96"/>
      <c r="GX22" s="96"/>
      <c r="GY22" s="96"/>
      <c r="GZ22" s="96"/>
      <c r="HA22" s="96"/>
      <c r="HB22" s="96"/>
      <c r="HC22" s="96"/>
      <c r="HD22" s="96"/>
      <c r="HE22" s="96"/>
      <c r="HF22" s="96"/>
      <c r="HG22" s="96"/>
      <c r="HH22" s="96"/>
      <c r="HI22" s="96"/>
      <c r="HJ22" s="96"/>
      <c r="HK22" s="96"/>
      <c r="HL22" s="96"/>
      <c r="HM22" s="96"/>
      <c r="HN22" s="96"/>
      <c r="HO22" s="96"/>
      <c r="HP22" s="96"/>
      <c r="HQ22" s="96"/>
      <c r="HR22" s="96"/>
      <c r="HS22" s="96"/>
      <c r="HT22" s="96"/>
      <c r="HU22" s="96"/>
      <c r="HV22" s="96"/>
      <c r="HW22" s="96"/>
      <c r="HX22" s="96"/>
      <c r="HY22" s="96"/>
      <c r="HZ22" s="96"/>
      <c r="IA22" s="96"/>
      <c r="IB22" s="96"/>
      <c r="IC22" s="96"/>
      <c r="ID22" s="96"/>
      <c r="IE22" s="96"/>
      <c r="IF22" s="96"/>
      <c r="IG22" s="96"/>
      <c r="IH22" s="96"/>
      <c r="II22" s="96"/>
      <c r="IJ22" s="96"/>
      <c r="IK22" s="96"/>
      <c r="IL22" s="96"/>
      <c r="IM22" s="96"/>
      <c r="IN22" s="96"/>
      <c r="IO22" s="96"/>
      <c r="IP22" s="96"/>
      <c r="IQ22" s="96"/>
      <c r="IR22" s="96"/>
      <c r="IS22" s="96"/>
      <c r="IT22" s="96"/>
    </row>
    <row r="23" s="43" customFormat="1" ht="77.1" customHeight="1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R23" s="44"/>
      <c r="S23" s="95"/>
      <c r="T23" s="95"/>
      <c r="U23" s="95"/>
    </row>
    <row r="24" ht="77.1" customHeight="1"/>
    <row r="25" ht="77.1" customHeight="1"/>
    <row r="26" ht="77.1" customHeight="1"/>
    <row r="27" ht="77.1" customHeight="1"/>
    <row r="28" ht="77.1" customHeight="1"/>
    <row r="29" ht="77.1" customHeight="1"/>
    <row r="30" ht="77.1" customHeight="1"/>
    <row r="31" ht="77.1" customHeight="1"/>
    <row r="32" ht="77.1" customHeight="1"/>
    <row r="33" ht="77.1" customHeight="1"/>
    <row r="34" ht="77.1" customHeight="1"/>
    <row r="35" ht="77.1" customHeight="1"/>
    <row r="36" ht="77.1" customHeight="1"/>
    <row r="37" ht="77.1" customHeight="1"/>
    <row r="38" ht="77.1" customHeight="1"/>
  </sheetData>
  <mergeCells count="3">
    <mergeCell ref="G2:N2"/>
    <mergeCell ref="E12:F12"/>
    <mergeCell ref="E2:F11"/>
  </mergeCells>
  <dataValidations count="15">
    <dataValidation type="list" allowBlank="1" showInputMessage="1" sqref="H1 I2 H4:H65507" errorStyle="information">
      <formula1>"普货,带木,带电,带电带磁,带磁,带液体,带膏体,带皮革,带干燥剂,带酒精棉"</formula1>
    </dataValidation>
    <dataValidation type="whole" operator="between" allowBlank="1" showInputMessage="1" showErrorMessage="1" sqref="I1 J2 I4:I16 I18:I65513 J19:J21">
      <formula1>1</formula1>
      <formula2>9999999999999990</formula2>
    </dataValidation>
    <dataValidation type="whole" operator="between" allowBlank="1" showInputMessage="1" showErrorMessage="1" sqref="J1 K2 J4:J18 J22:J65513">
      <formula1>1</formula1>
      <formula2>11111111</formula2>
    </dataValidation>
    <dataValidation type="list" allowBlank="1" showInputMessage="1" showErrorMessage="1" sqref="K1 L2 K4:K65507">
      <formula1>"美金,英镑,欧元"</formula1>
    </dataValidation>
    <dataValidation type="decimal" operator="between" allowBlank="1" showInputMessage="1" showErrorMessage="1" error="只能填数字" sqref="L1 M2 L4:L65513">
      <formula1>0.00001</formula1>
      <formula2>99999</formula2>
    </dataValidation>
    <dataValidation type="decimal" operator="between" allowBlank="1" showInputMessage="1" showErrorMessage="1" error="只能填写数字" sqref="M1 N2 M4:M65513">
      <formula1>0</formula1>
      <formula2>2000</formula2>
    </dataValidation>
    <dataValidation type="list" allowBlank="1" showInputMessage="1" showErrorMessage="1" sqref="P1 Q2 P4:P16 P18:P65507">
      <formula1>"无,境内自主品牌,境内收购品牌,境外品牌(贴牌生产),境外品牌(其他)"</formula1>
    </dataValidation>
    <dataValidation type="list" allowBlank="1" showInputMessage="1" showErrorMessage="1" sqref="B2">
      <formula1>"深圳龙华仓,东莞清溪仓,义乌仓"</formula1>
    </dataValidation>
    <dataValidation type="list" allowBlank="1" showInputMessage="1" showErrorMessage="1" sqref="D2">
      <formula1>"是,否"</formula1>
    </dataValidation>
    <dataValidation type="list" allowBlank="1" showInputMessage="1" showErrorMessage="1" sqref="D3">
      <formula1>"不包税,包税,合并清关"</formula1>
    </dataValidation>
    <dataValidation type="list" allowBlank="1" showInputMessage="1" showErrorMessage="1" sqref="B4">
      <formula1>'走货线路名和申报币别要求-不能删'!$A$2:$A$537</formula1>
    </dataValidation>
    <dataValidation type="list" allowBlank="1" showInputMessage="1" showErrorMessage="1" sqref="B5">
      <formula1>"有单证,无单证,合并报关"</formula1>
    </dataValidation>
    <dataValidation type="list" allowBlank="1" showInputMessage="1" showErrorMessage="1" sqref="B7">
      <formula1>"亚马逊地址,非亚马逊地址,沃尔玛地址,海外仓地址"</formula1>
    </dataValidation>
    <dataValidation type="list" allowBlank="1" showInputMessage="1" showErrorMessage="1" sqref="D14">
      <formula1>"自营德国海外仓,美国自营海外仓"</formula1>
    </dataValidation>
    <dataValidation type="list" allowBlank="1" showInputMessage="1" showErrorMessage="1" sqref="F15 F12:F13">
      <formula1>$F$10:$F$12</formula1>
    </dataValidation>
  </dataValidations>
  <hyperlinks>
    <hyperlink ref="D13" r:id="rId4" display="szlbc@ytad-logistics.com"/>
  </hyperlinks>
  <pageMargins left="0.75" right="0.75" top="1" bottom="1" header="0.5" footer="0.5"/>
  <pageSetup paperSize="50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"/>
  <sheetViews>
    <sheetView zoomScale="145" zoomScaleNormal="145" topLeftCell="A117" workbookViewId="0">
      <selection activeCell="C83" sqref="C83"/>
    </sheetView>
  </sheetViews>
  <sheetFormatPr defaultColWidth="9" defaultRowHeight="14.4" outlineLevelCol="1"/>
  <cols>
    <col min="1" max="1" width="34.0925925925926" customWidth="1"/>
    <col min="2" max="2" width="9" style="14"/>
  </cols>
  <sheetData>
    <row r="1" ht="31.2" spans="1:2">
      <c r="A1" s="15" t="s">
        <v>92</v>
      </c>
      <c r="B1" s="16" t="s">
        <v>93</v>
      </c>
    </row>
    <row r="2" ht="15" spans="1:2">
      <c r="A2" s="17" t="s">
        <v>94</v>
      </c>
      <c r="B2" s="18" t="s">
        <v>95</v>
      </c>
    </row>
    <row r="3" ht="15" spans="1:2">
      <c r="A3" s="17" t="s">
        <v>96</v>
      </c>
      <c r="B3" s="18" t="s">
        <v>95</v>
      </c>
    </row>
    <row r="4" ht="15" spans="1:2">
      <c r="A4" s="17" t="s">
        <v>97</v>
      </c>
      <c r="B4" s="18" t="s">
        <v>95</v>
      </c>
    </row>
    <row r="5" ht="15" spans="1:2">
      <c r="A5" s="17" t="s">
        <v>98</v>
      </c>
      <c r="B5" s="18" t="s">
        <v>95</v>
      </c>
    </row>
    <row r="6" ht="15" spans="1:2">
      <c r="A6" s="17" t="s">
        <v>99</v>
      </c>
      <c r="B6" s="18" t="s">
        <v>95</v>
      </c>
    </row>
    <row r="7" ht="15" spans="1:2">
      <c r="A7" s="17" t="s">
        <v>100</v>
      </c>
      <c r="B7" s="18" t="s">
        <v>95</v>
      </c>
    </row>
    <row r="8" ht="15" spans="1:2">
      <c r="A8" s="17" t="s">
        <v>101</v>
      </c>
      <c r="B8" s="18" t="s">
        <v>95</v>
      </c>
    </row>
    <row r="9" ht="15" spans="1:2">
      <c r="A9" s="19" t="s">
        <v>102</v>
      </c>
      <c r="B9" s="20" t="s">
        <v>95</v>
      </c>
    </row>
    <row r="10" ht="15" spans="1:2">
      <c r="A10" s="21" t="s">
        <v>103</v>
      </c>
      <c r="B10" s="18" t="s">
        <v>95</v>
      </c>
    </row>
    <row r="11" ht="15" spans="1:2">
      <c r="A11" s="21" t="s">
        <v>104</v>
      </c>
      <c r="B11" s="18" t="s">
        <v>95</v>
      </c>
    </row>
    <row r="12" ht="15" spans="1:2">
      <c r="A12" s="21" t="s">
        <v>105</v>
      </c>
      <c r="B12" s="18" t="s">
        <v>95</v>
      </c>
    </row>
    <row r="13" ht="15" spans="1:2">
      <c r="A13" s="21" t="s">
        <v>106</v>
      </c>
      <c r="B13" s="18" t="s">
        <v>95</v>
      </c>
    </row>
    <row r="14" ht="15" spans="1:2">
      <c r="A14" s="21" t="s">
        <v>107</v>
      </c>
      <c r="B14" s="18" t="s">
        <v>95</v>
      </c>
    </row>
    <row r="15" ht="15" spans="1:2">
      <c r="A15" s="21" t="s">
        <v>108</v>
      </c>
      <c r="B15" s="18" t="s">
        <v>95</v>
      </c>
    </row>
    <row r="16" ht="15" spans="1:2">
      <c r="A16" s="21" t="s">
        <v>109</v>
      </c>
      <c r="B16" s="18" t="s">
        <v>95</v>
      </c>
    </row>
    <row r="17" ht="15" spans="1:2">
      <c r="A17" s="22" t="s">
        <v>110</v>
      </c>
      <c r="B17" s="23" t="s">
        <v>95</v>
      </c>
    </row>
    <row r="18" ht="15" spans="1:2">
      <c r="A18" s="22" t="s">
        <v>111</v>
      </c>
      <c r="B18" s="23" t="s">
        <v>95</v>
      </c>
    </row>
    <row r="19" ht="15" spans="1:2">
      <c r="A19" s="22" t="s">
        <v>112</v>
      </c>
      <c r="B19" s="23" t="s">
        <v>95</v>
      </c>
    </row>
    <row r="20" ht="15" spans="1:2">
      <c r="A20" s="22" t="s">
        <v>113</v>
      </c>
      <c r="B20" s="23" t="s">
        <v>95</v>
      </c>
    </row>
    <row r="21" ht="15" spans="1:2">
      <c r="A21" s="22" t="s">
        <v>114</v>
      </c>
      <c r="B21" s="23" t="s">
        <v>95</v>
      </c>
    </row>
    <row r="22" ht="15" spans="1:2">
      <c r="A22" s="22" t="s">
        <v>115</v>
      </c>
      <c r="B22" s="23" t="s">
        <v>95</v>
      </c>
    </row>
    <row r="23" ht="15" spans="1:2">
      <c r="A23" s="22" t="s">
        <v>116</v>
      </c>
      <c r="B23" s="23" t="s">
        <v>95</v>
      </c>
    </row>
    <row r="24" ht="15" spans="1:2">
      <c r="A24" s="22" t="s">
        <v>117</v>
      </c>
      <c r="B24" s="23" t="s">
        <v>95</v>
      </c>
    </row>
    <row r="25" ht="15" spans="1:2">
      <c r="A25" s="22" t="s">
        <v>118</v>
      </c>
      <c r="B25" s="23" t="s">
        <v>95</v>
      </c>
    </row>
    <row r="26" ht="15" spans="1:2">
      <c r="A26" s="22" t="s">
        <v>119</v>
      </c>
      <c r="B26" s="23" t="s">
        <v>95</v>
      </c>
    </row>
    <row r="27" ht="15" spans="1:2">
      <c r="A27" s="22" t="s">
        <v>120</v>
      </c>
      <c r="B27" s="18" t="s">
        <v>95</v>
      </c>
    </row>
    <row r="28" ht="15" spans="1:2">
      <c r="A28" s="22" t="s">
        <v>121</v>
      </c>
      <c r="B28" s="18" t="s">
        <v>95</v>
      </c>
    </row>
    <row r="29" ht="15" spans="1:2">
      <c r="A29" s="22" t="s">
        <v>122</v>
      </c>
      <c r="B29" s="18" t="s">
        <v>95</v>
      </c>
    </row>
    <row r="30" ht="15" spans="1:2">
      <c r="A30" s="22" t="s">
        <v>123</v>
      </c>
      <c r="B30" s="18" t="s">
        <v>95</v>
      </c>
    </row>
    <row r="31" ht="15" spans="1:2">
      <c r="A31" s="22" t="s">
        <v>124</v>
      </c>
      <c r="B31" s="18" t="s">
        <v>95</v>
      </c>
    </row>
    <row r="32" ht="15" spans="1:2">
      <c r="A32" s="22" t="s">
        <v>125</v>
      </c>
      <c r="B32" s="18" t="s">
        <v>95</v>
      </c>
    </row>
    <row r="33" ht="15" spans="1:2">
      <c r="A33" s="22" t="s">
        <v>126</v>
      </c>
      <c r="B33" s="18" t="s">
        <v>95</v>
      </c>
    </row>
    <row r="34" ht="15" spans="1:2">
      <c r="A34" s="22" t="s">
        <v>127</v>
      </c>
      <c r="B34" s="18" t="s">
        <v>95</v>
      </c>
    </row>
    <row r="35" ht="15" spans="1:2">
      <c r="A35" s="24" t="s">
        <v>128</v>
      </c>
      <c r="B35" s="23" t="s">
        <v>95</v>
      </c>
    </row>
    <row r="36" ht="15" spans="1:2">
      <c r="A36" s="24" t="s">
        <v>129</v>
      </c>
      <c r="B36" s="23" t="s">
        <v>95</v>
      </c>
    </row>
    <row r="37" ht="15" spans="1:2">
      <c r="A37" s="24" t="s">
        <v>130</v>
      </c>
      <c r="B37" s="23" t="s">
        <v>95</v>
      </c>
    </row>
    <row r="38" ht="15" spans="1:2">
      <c r="A38" s="24" t="s">
        <v>131</v>
      </c>
      <c r="B38" s="23" t="s">
        <v>95</v>
      </c>
    </row>
    <row r="39" ht="15" spans="1:2">
      <c r="A39" s="24" t="s">
        <v>132</v>
      </c>
      <c r="B39" s="23" t="s">
        <v>95</v>
      </c>
    </row>
    <row r="40" ht="15" spans="1:2">
      <c r="A40" s="24" t="s">
        <v>133</v>
      </c>
      <c r="B40" s="23" t="s">
        <v>95</v>
      </c>
    </row>
    <row r="41" ht="15" spans="1:2">
      <c r="A41" s="24" t="s">
        <v>134</v>
      </c>
      <c r="B41" s="23" t="s">
        <v>95</v>
      </c>
    </row>
    <row r="42" ht="15" spans="1:2">
      <c r="A42" s="25" t="s">
        <v>135</v>
      </c>
      <c r="B42" s="23" t="s">
        <v>95</v>
      </c>
    </row>
    <row r="43" ht="15" spans="1:2">
      <c r="A43" s="25" t="s">
        <v>15</v>
      </c>
      <c r="B43" s="23" t="s">
        <v>95</v>
      </c>
    </row>
    <row r="44" ht="15" spans="1:2">
      <c r="A44" s="25" t="s">
        <v>136</v>
      </c>
      <c r="B44" s="23" t="s">
        <v>95</v>
      </c>
    </row>
    <row r="45" ht="15" spans="1:2">
      <c r="A45" s="25" t="s">
        <v>137</v>
      </c>
      <c r="B45" s="23" t="s">
        <v>95</v>
      </c>
    </row>
    <row r="46" ht="15" spans="1:2">
      <c r="A46" s="25" t="s">
        <v>138</v>
      </c>
      <c r="B46" s="23" t="s">
        <v>95</v>
      </c>
    </row>
    <row r="47" ht="15" spans="1:2">
      <c r="A47" s="25" t="s">
        <v>139</v>
      </c>
      <c r="B47" s="23" t="s">
        <v>95</v>
      </c>
    </row>
    <row r="48" ht="15" spans="1:2">
      <c r="A48" s="25" t="s">
        <v>140</v>
      </c>
      <c r="B48" s="23" t="s">
        <v>95</v>
      </c>
    </row>
    <row r="49" ht="15" spans="1:2">
      <c r="A49" s="25" t="s">
        <v>141</v>
      </c>
      <c r="B49" s="23" t="s">
        <v>95</v>
      </c>
    </row>
    <row r="50" ht="15" spans="1:2">
      <c r="A50" s="24" t="s">
        <v>142</v>
      </c>
      <c r="B50" s="23" t="s">
        <v>95</v>
      </c>
    </row>
    <row r="51" ht="15" spans="1:2">
      <c r="A51" s="24" t="s">
        <v>143</v>
      </c>
      <c r="B51" s="23" t="s">
        <v>95</v>
      </c>
    </row>
    <row r="52" ht="15" spans="1:2">
      <c r="A52" s="24" t="s">
        <v>144</v>
      </c>
      <c r="B52" s="23" t="s">
        <v>95</v>
      </c>
    </row>
    <row r="53" ht="15" spans="1:2">
      <c r="A53" s="24" t="s">
        <v>145</v>
      </c>
      <c r="B53" s="23" t="s">
        <v>95</v>
      </c>
    </row>
    <row r="54" ht="15" spans="1:2">
      <c r="A54" s="24" t="s">
        <v>146</v>
      </c>
      <c r="B54" s="23" t="s">
        <v>95</v>
      </c>
    </row>
    <row r="55" ht="15" spans="1:2">
      <c r="A55" s="24" t="s">
        <v>147</v>
      </c>
      <c r="B55" s="23" t="s">
        <v>95</v>
      </c>
    </row>
    <row r="56" ht="15" spans="1:2">
      <c r="A56" s="24" t="s">
        <v>148</v>
      </c>
      <c r="B56" s="23" t="s">
        <v>95</v>
      </c>
    </row>
    <row r="57" ht="15" spans="1:2">
      <c r="A57" s="24" t="s">
        <v>149</v>
      </c>
      <c r="B57" s="23" t="s">
        <v>95</v>
      </c>
    </row>
    <row r="58" ht="15" spans="1:2">
      <c r="A58" s="24" t="s">
        <v>150</v>
      </c>
      <c r="B58" s="23" t="s">
        <v>95</v>
      </c>
    </row>
    <row r="59" ht="15" spans="1:2">
      <c r="A59" s="24" t="s">
        <v>151</v>
      </c>
      <c r="B59" s="23" t="s">
        <v>95</v>
      </c>
    </row>
    <row r="60" ht="15" spans="1:2">
      <c r="A60" s="24" t="s">
        <v>152</v>
      </c>
      <c r="B60" s="23" t="s">
        <v>95</v>
      </c>
    </row>
    <row r="61" ht="15" spans="1:2">
      <c r="A61" s="24" t="s">
        <v>153</v>
      </c>
      <c r="B61" s="23" t="s">
        <v>95</v>
      </c>
    </row>
    <row r="62" ht="15" spans="1:2">
      <c r="A62" s="24" t="s">
        <v>154</v>
      </c>
      <c r="B62" s="23" t="s">
        <v>95</v>
      </c>
    </row>
    <row r="63" ht="15" spans="1:2">
      <c r="A63" s="24" t="s">
        <v>155</v>
      </c>
      <c r="B63" s="23" t="s">
        <v>95</v>
      </c>
    </row>
    <row r="64" ht="15" spans="1:2">
      <c r="A64" s="24" t="s">
        <v>156</v>
      </c>
      <c r="B64" s="23" t="s">
        <v>95</v>
      </c>
    </row>
    <row r="65" ht="15" spans="1:2">
      <c r="A65" s="24" t="s">
        <v>157</v>
      </c>
      <c r="B65" s="23" t="s">
        <v>95</v>
      </c>
    </row>
    <row r="66" ht="15" spans="1:2">
      <c r="A66" s="24" t="s">
        <v>158</v>
      </c>
      <c r="B66" s="23" t="s">
        <v>95</v>
      </c>
    </row>
    <row r="67" ht="15" spans="1:2">
      <c r="A67" s="24" t="s">
        <v>159</v>
      </c>
      <c r="B67" s="23" t="s">
        <v>95</v>
      </c>
    </row>
    <row r="68" ht="15" spans="1:2">
      <c r="A68" s="24" t="s">
        <v>160</v>
      </c>
      <c r="B68" s="23" t="s">
        <v>95</v>
      </c>
    </row>
    <row r="69" ht="15" spans="1:2">
      <c r="A69" s="24" t="s">
        <v>161</v>
      </c>
      <c r="B69" s="23" t="s">
        <v>95</v>
      </c>
    </row>
    <row r="70" ht="15" spans="1:2">
      <c r="A70" s="24" t="s">
        <v>162</v>
      </c>
      <c r="B70" s="23" t="s">
        <v>95</v>
      </c>
    </row>
    <row r="71" ht="15" spans="1:2">
      <c r="A71" s="24" t="s">
        <v>163</v>
      </c>
      <c r="B71" s="23" t="s">
        <v>95</v>
      </c>
    </row>
    <row r="72" ht="15" spans="1:2">
      <c r="A72" s="24" t="s">
        <v>164</v>
      </c>
      <c r="B72" s="23" t="s">
        <v>95</v>
      </c>
    </row>
    <row r="73" ht="15" spans="1:2">
      <c r="A73" s="24" t="s">
        <v>165</v>
      </c>
      <c r="B73" s="23" t="s">
        <v>95</v>
      </c>
    </row>
    <row r="74" ht="15" spans="1:2">
      <c r="A74" s="24" t="s">
        <v>166</v>
      </c>
      <c r="B74" s="23" t="s">
        <v>95</v>
      </c>
    </row>
    <row r="75" ht="15" spans="1:2">
      <c r="A75" s="24" t="s">
        <v>167</v>
      </c>
      <c r="B75" s="23" t="s">
        <v>95</v>
      </c>
    </row>
    <row r="76" ht="15" spans="1:2">
      <c r="A76" s="24" t="s">
        <v>168</v>
      </c>
      <c r="B76" s="23" t="s">
        <v>95</v>
      </c>
    </row>
    <row r="77" ht="15" spans="1:2">
      <c r="A77" s="24" t="s">
        <v>169</v>
      </c>
      <c r="B77" s="23" t="s">
        <v>95</v>
      </c>
    </row>
    <row r="78" ht="15" spans="1:2">
      <c r="A78" s="24" t="s">
        <v>170</v>
      </c>
      <c r="B78" s="23" t="s">
        <v>95</v>
      </c>
    </row>
    <row r="79" ht="15" spans="1:2">
      <c r="A79" s="24" t="s">
        <v>171</v>
      </c>
      <c r="B79" s="23" t="s">
        <v>95</v>
      </c>
    </row>
    <row r="80" ht="15" spans="1:2">
      <c r="A80" s="24" t="s">
        <v>172</v>
      </c>
      <c r="B80" s="23" t="s">
        <v>95</v>
      </c>
    </row>
    <row r="81" ht="15" spans="1:2">
      <c r="A81" s="24" t="s">
        <v>173</v>
      </c>
      <c r="B81" s="23" t="s">
        <v>95</v>
      </c>
    </row>
    <row r="82" ht="15" spans="1:2">
      <c r="A82" s="24" t="s">
        <v>174</v>
      </c>
      <c r="B82" s="23" t="s">
        <v>95</v>
      </c>
    </row>
    <row r="83" ht="15" spans="1:2">
      <c r="A83" s="24" t="s">
        <v>175</v>
      </c>
      <c r="B83" s="23" t="s">
        <v>95</v>
      </c>
    </row>
    <row r="84" ht="15" spans="1:2">
      <c r="A84" s="24" t="s">
        <v>176</v>
      </c>
      <c r="B84" s="23" t="s">
        <v>95</v>
      </c>
    </row>
    <row r="85" ht="15" spans="1:2">
      <c r="A85" s="26" t="s">
        <v>177</v>
      </c>
      <c r="B85" s="27" t="s">
        <v>95</v>
      </c>
    </row>
    <row r="86" ht="15.6" spans="1:2">
      <c r="A86" s="28" t="s">
        <v>178</v>
      </c>
      <c r="B86" s="23" t="s">
        <v>95</v>
      </c>
    </row>
    <row r="87" ht="15.6" spans="1:2">
      <c r="A87" s="28" t="s">
        <v>179</v>
      </c>
      <c r="B87" s="23" t="s">
        <v>95</v>
      </c>
    </row>
    <row r="88" ht="15.6" spans="1:2">
      <c r="A88" s="28" t="s">
        <v>180</v>
      </c>
      <c r="B88" s="23" t="s">
        <v>95</v>
      </c>
    </row>
    <row r="89" ht="15.6" spans="1:2">
      <c r="A89" s="28" t="s">
        <v>181</v>
      </c>
      <c r="B89" s="23" t="s">
        <v>95</v>
      </c>
    </row>
    <row r="90" ht="15.6" spans="1:2">
      <c r="A90" s="28" t="s">
        <v>182</v>
      </c>
      <c r="B90" s="23" t="s">
        <v>95</v>
      </c>
    </row>
    <row r="91" ht="15.6" spans="1:2">
      <c r="A91" s="29" t="s">
        <v>183</v>
      </c>
      <c r="B91" s="23" t="s">
        <v>95</v>
      </c>
    </row>
    <row r="92" ht="15.6" spans="1:2">
      <c r="A92" s="29" t="s">
        <v>184</v>
      </c>
      <c r="B92" s="23" t="s">
        <v>95</v>
      </c>
    </row>
    <row r="93" ht="15.6" spans="1:2">
      <c r="A93" s="29" t="s">
        <v>185</v>
      </c>
      <c r="B93" s="23" t="s">
        <v>95</v>
      </c>
    </row>
    <row r="94" ht="15.6" spans="1:2">
      <c r="A94" s="29" t="s">
        <v>186</v>
      </c>
      <c r="B94" s="23" t="s">
        <v>95</v>
      </c>
    </row>
    <row r="95" ht="15.6" spans="1:2">
      <c r="A95" s="29" t="s">
        <v>187</v>
      </c>
      <c r="B95" s="23" t="s">
        <v>95</v>
      </c>
    </row>
    <row r="96" ht="15.6" spans="1:2">
      <c r="A96" s="29" t="s">
        <v>188</v>
      </c>
      <c r="B96" s="23" t="s">
        <v>95</v>
      </c>
    </row>
    <row r="97" ht="15.6" spans="1:2">
      <c r="A97" s="29" t="s">
        <v>189</v>
      </c>
      <c r="B97" s="23" t="s">
        <v>190</v>
      </c>
    </row>
    <row r="98" ht="15.6" spans="1:2">
      <c r="A98" s="29" t="s">
        <v>191</v>
      </c>
      <c r="B98" s="23" t="s">
        <v>190</v>
      </c>
    </row>
    <row r="99" ht="15.6" spans="1:2">
      <c r="A99" s="29" t="s">
        <v>192</v>
      </c>
      <c r="B99" s="23" t="s">
        <v>190</v>
      </c>
    </row>
    <row r="100" ht="15.6" spans="1:2">
      <c r="A100" s="29" t="s">
        <v>193</v>
      </c>
      <c r="B100" s="23" t="s">
        <v>190</v>
      </c>
    </row>
    <row r="101" ht="15.6" spans="1:2">
      <c r="A101" s="29" t="s">
        <v>194</v>
      </c>
      <c r="B101" s="23" t="s">
        <v>190</v>
      </c>
    </row>
    <row r="102" ht="15.6" spans="1:2">
      <c r="A102" s="29" t="s">
        <v>195</v>
      </c>
      <c r="B102" s="23" t="s">
        <v>190</v>
      </c>
    </row>
    <row r="103" ht="15.6" spans="1:2">
      <c r="A103" s="29" t="s">
        <v>196</v>
      </c>
      <c r="B103" s="23" t="s">
        <v>190</v>
      </c>
    </row>
    <row r="104" ht="15.6" spans="1:2">
      <c r="A104" s="29" t="s">
        <v>197</v>
      </c>
      <c r="B104" s="23" t="s">
        <v>190</v>
      </c>
    </row>
    <row r="105" ht="15.6" spans="1:2">
      <c r="A105" s="29" t="s">
        <v>198</v>
      </c>
      <c r="B105" s="23" t="s">
        <v>190</v>
      </c>
    </row>
    <row r="106" ht="15.6" spans="1:2">
      <c r="A106" s="29" t="s">
        <v>199</v>
      </c>
      <c r="B106" s="23" t="s">
        <v>190</v>
      </c>
    </row>
    <row r="107" ht="15.6" spans="1:2">
      <c r="A107" s="29" t="s">
        <v>200</v>
      </c>
      <c r="B107" s="23" t="s">
        <v>190</v>
      </c>
    </row>
    <row r="108" ht="15.6" spans="1:2">
      <c r="A108" s="29" t="s">
        <v>201</v>
      </c>
      <c r="B108" s="23" t="s">
        <v>190</v>
      </c>
    </row>
    <row r="109" ht="15.6" spans="1:2">
      <c r="A109" s="29" t="s">
        <v>202</v>
      </c>
      <c r="B109" s="23" t="s">
        <v>203</v>
      </c>
    </row>
    <row r="110" ht="15.6" spans="1:2">
      <c r="A110" s="29" t="s">
        <v>204</v>
      </c>
      <c r="B110" s="23" t="s">
        <v>203</v>
      </c>
    </row>
    <row r="111" ht="15.6" spans="1:2">
      <c r="A111" s="29" t="s">
        <v>205</v>
      </c>
      <c r="B111" s="23" t="s">
        <v>190</v>
      </c>
    </row>
    <row r="112" ht="15.6" spans="1:2">
      <c r="A112" s="29" t="s">
        <v>206</v>
      </c>
      <c r="B112" s="23" t="s">
        <v>190</v>
      </c>
    </row>
    <row r="113" ht="15.6" spans="1:2">
      <c r="A113" s="29" t="s">
        <v>207</v>
      </c>
      <c r="B113" s="23" t="s">
        <v>203</v>
      </c>
    </row>
    <row r="114" ht="15.6" spans="1:2">
      <c r="A114" s="29" t="s">
        <v>208</v>
      </c>
      <c r="B114" s="23" t="s">
        <v>203</v>
      </c>
    </row>
    <row r="115" ht="15.6" spans="1:2">
      <c r="A115" s="30" t="s">
        <v>209</v>
      </c>
      <c r="B115" s="31" t="s">
        <v>203</v>
      </c>
    </row>
    <row r="116" ht="15.6" spans="1:2">
      <c r="A116" s="29" t="s">
        <v>210</v>
      </c>
      <c r="B116" s="18" t="s">
        <v>95</v>
      </c>
    </row>
    <row r="117" ht="15.6" spans="1:2">
      <c r="A117" s="29" t="s">
        <v>211</v>
      </c>
      <c r="B117" s="32" t="s">
        <v>203</v>
      </c>
    </row>
    <row r="118" ht="15.6" spans="1:2">
      <c r="A118" s="29" t="s">
        <v>212</v>
      </c>
      <c r="B118" s="32" t="s">
        <v>203</v>
      </c>
    </row>
    <row r="119" ht="15.6" spans="1:2">
      <c r="A119" s="29" t="s">
        <v>213</v>
      </c>
      <c r="B119" s="23" t="s">
        <v>203</v>
      </c>
    </row>
    <row r="120" ht="15.6" spans="1:2">
      <c r="A120" s="29" t="s">
        <v>214</v>
      </c>
      <c r="B120" s="23" t="s">
        <v>203</v>
      </c>
    </row>
    <row r="121" ht="15.6" spans="1:2">
      <c r="A121" s="29" t="s">
        <v>215</v>
      </c>
      <c r="B121" s="23" t="s">
        <v>203</v>
      </c>
    </row>
    <row r="122" ht="15.6" spans="1:2">
      <c r="A122" s="29" t="s">
        <v>216</v>
      </c>
      <c r="B122" s="23" t="s">
        <v>203</v>
      </c>
    </row>
    <row r="123" ht="15.6" spans="1:2">
      <c r="A123" s="29" t="s">
        <v>217</v>
      </c>
      <c r="B123" s="33" t="s">
        <v>218</v>
      </c>
    </row>
    <row r="124" ht="15.6" spans="1:2">
      <c r="A124" s="29" t="s">
        <v>219</v>
      </c>
      <c r="B124" s="33" t="s">
        <v>218</v>
      </c>
    </row>
    <row r="125" ht="15.6" spans="1:2">
      <c r="A125" s="29" t="s">
        <v>220</v>
      </c>
      <c r="B125" s="33" t="s">
        <v>221</v>
      </c>
    </row>
    <row r="126" ht="15.6" spans="1:2">
      <c r="A126" s="34" t="s">
        <v>222</v>
      </c>
      <c r="B126" s="35" t="s">
        <v>221</v>
      </c>
    </row>
    <row r="127" spans="1:2">
      <c r="A127" s="36" t="s">
        <v>223</v>
      </c>
      <c r="B127" s="18" t="s">
        <v>95</v>
      </c>
    </row>
    <row r="128" spans="1:2">
      <c r="A128" s="36" t="s">
        <v>211</v>
      </c>
      <c r="B128" s="18" t="s">
        <v>95</v>
      </c>
    </row>
    <row r="129" spans="1:2">
      <c r="A129" s="36" t="s">
        <v>212</v>
      </c>
      <c r="B129" s="18" t="s">
        <v>95</v>
      </c>
    </row>
    <row r="130" spans="1:2">
      <c r="A130" s="36" t="s">
        <v>224</v>
      </c>
      <c r="B130" s="18" t="s">
        <v>95</v>
      </c>
    </row>
    <row r="131" spans="1:2">
      <c r="A131" s="36" t="s">
        <v>225</v>
      </c>
      <c r="B131" s="23" t="s">
        <v>190</v>
      </c>
    </row>
    <row r="132" spans="1:2">
      <c r="A132" s="37" t="s">
        <v>226</v>
      </c>
      <c r="B132" s="38" t="s">
        <v>190</v>
      </c>
    </row>
    <row r="133" spans="1:2">
      <c r="A133" s="37" t="s">
        <v>227</v>
      </c>
      <c r="B133" s="38" t="s">
        <v>203</v>
      </c>
    </row>
  </sheetData>
  <conditionalFormatting sqref="A131">
    <cfRule type="duplicateValues" dxfId="0" priority="2"/>
  </conditionalFormatting>
  <conditionalFormatting sqref="A132">
    <cfRule type="duplicateValues" dxfId="0" priority="1"/>
  </conditionalFormatting>
  <conditionalFormatting sqref="A133">
    <cfRule type="duplicateValues" dxfId="0" priority="3"/>
  </conditionalFormatting>
  <conditionalFormatting sqref="A1:A130 A134:A1048576">
    <cfRule type="duplicateValues" dxfId="0" priority="4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1"/>
  <sheetViews>
    <sheetView topLeftCell="D4" workbookViewId="0">
      <selection activeCell="R19" sqref="R19"/>
    </sheetView>
  </sheetViews>
  <sheetFormatPr defaultColWidth="8" defaultRowHeight="18.75" customHeight="1"/>
  <cols>
    <col min="1" max="1" width="22.3518518518519" style="1"/>
    <col min="2" max="2" width="29.3333333333333" style="1"/>
    <col min="3" max="3" width="13.9722222222222" style="1"/>
    <col min="4" max="4" width="18.9166666666667" style="1"/>
    <col min="5" max="5" width="11.3055555555556" style="1"/>
    <col min="6" max="6" width="13.712962962963" style="1"/>
    <col min="7" max="9" width="12.3148148148148" style="1"/>
    <col min="10" max="10" width="13.2037037037037" style="1"/>
    <col min="11" max="11" width="17.3981481481481" style="1"/>
    <col min="12" max="12" width="13.462962962963" style="1"/>
    <col min="13" max="13" width="15.1111111111111" style="1"/>
    <col min="14" max="14" width="13.2037037037037" style="1"/>
    <col min="15" max="15" width="14.7314814814815" style="1"/>
    <col min="16" max="16" width="14.0925925925926" style="1"/>
    <col min="17" max="17" width="11.5555555555556" style="1"/>
    <col min="18" max="18" width="16.25" style="1"/>
    <col min="19" max="19" width="16" style="1"/>
    <col min="20" max="20" width="26.4166666666667" style="1"/>
    <col min="21" max="21" width="14.7314814814815" style="1"/>
    <col min="22" max="22" width="11.4259259259259" style="1"/>
    <col min="23" max="23" width="17.0185185185185" style="2"/>
    <col min="24" max="26" width="14.9814814814815" style="1"/>
    <col min="27" max="27" width="17.2685185185185" style="1"/>
    <col min="28" max="28" width="16.6388888888889" style="1"/>
    <col min="29" max="29" width="9.26851851851852" style="1"/>
    <col min="30" max="16384" width="8" style="1"/>
  </cols>
  <sheetData>
    <row r="1" s="1" customFormat="1" ht="15.75" customHeight="1" spans="1:29">
      <c r="A1" s="3" t="s">
        <v>228</v>
      </c>
      <c r="B1" s="3" t="s">
        <v>229</v>
      </c>
      <c r="C1" s="3" t="s">
        <v>230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  <c r="I1" s="3" t="s">
        <v>236</v>
      </c>
      <c r="J1" s="3" t="s">
        <v>237</v>
      </c>
      <c r="K1" s="3" t="s">
        <v>238</v>
      </c>
      <c r="L1" s="3" t="s">
        <v>239</v>
      </c>
      <c r="M1" s="3" t="s">
        <v>240</v>
      </c>
      <c r="N1" s="3" t="s">
        <v>241</v>
      </c>
      <c r="O1" s="3" t="s">
        <v>242</v>
      </c>
      <c r="P1" s="3" t="s">
        <v>243</v>
      </c>
      <c r="Q1" s="3" t="s">
        <v>244</v>
      </c>
      <c r="R1" s="3" t="s">
        <v>245</v>
      </c>
      <c r="S1" s="3" t="s">
        <v>246</v>
      </c>
      <c r="T1" s="3" t="s">
        <v>247</v>
      </c>
      <c r="U1" s="3" t="s">
        <v>248</v>
      </c>
      <c r="V1" s="3" t="s">
        <v>249</v>
      </c>
      <c r="W1" s="7" t="s">
        <v>250</v>
      </c>
      <c r="X1" s="3" t="s">
        <v>251</v>
      </c>
      <c r="Y1" s="3" t="s">
        <v>252</v>
      </c>
      <c r="Z1" s="3" t="s">
        <v>253</v>
      </c>
      <c r="AA1" s="3" t="s">
        <v>254</v>
      </c>
      <c r="AB1" s="3" t="s">
        <v>255</v>
      </c>
      <c r="AC1" s="3" t="s">
        <v>256</v>
      </c>
    </row>
    <row r="2" s="1" customFormat="1" ht="17.25" customHeight="1" spans="1:29">
      <c r="A2" s="4" t="s">
        <v>257</v>
      </c>
      <c r="B2" s="4" t="s">
        <v>258</v>
      </c>
      <c r="C2" s="4" t="s">
        <v>259</v>
      </c>
      <c r="D2" s="4" t="s">
        <v>260</v>
      </c>
      <c r="E2" s="4"/>
      <c r="F2" s="4" t="s">
        <v>258</v>
      </c>
      <c r="G2" s="4" t="s">
        <v>261</v>
      </c>
      <c r="H2" s="4" t="s">
        <v>262</v>
      </c>
      <c r="I2" s="4" t="s">
        <v>257</v>
      </c>
      <c r="J2" s="4" t="s">
        <v>263</v>
      </c>
      <c r="K2" s="4" t="s">
        <v>264</v>
      </c>
      <c r="L2" s="4" t="s">
        <v>265</v>
      </c>
      <c r="M2" s="4"/>
      <c r="N2" s="4" t="s">
        <v>266</v>
      </c>
      <c r="O2" s="4"/>
      <c r="P2" s="4"/>
      <c r="Q2" s="4" t="s">
        <v>267</v>
      </c>
      <c r="R2" s="4"/>
      <c r="S2" s="4"/>
      <c r="T2" s="4"/>
      <c r="U2" s="4" t="s">
        <v>268</v>
      </c>
      <c r="V2" s="4" t="s">
        <v>269</v>
      </c>
      <c r="W2" s="8">
        <v>45435.8218055556</v>
      </c>
      <c r="X2" s="4"/>
      <c r="Y2" s="4"/>
      <c r="Z2" s="4"/>
      <c r="AA2" s="4"/>
      <c r="AB2" s="4">
        <v>45428.725462963</v>
      </c>
      <c r="AC2" s="4" t="s">
        <v>270</v>
      </c>
    </row>
    <row r="3" s="1" customFormat="1" ht="17.25" customHeight="1" spans="1:29">
      <c r="A3" s="5" t="s">
        <v>271</v>
      </c>
      <c r="B3" s="5" t="s">
        <v>258</v>
      </c>
      <c r="C3" s="5" t="s">
        <v>259</v>
      </c>
      <c r="D3" s="5" t="s">
        <v>260</v>
      </c>
      <c r="E3" s="5"/>
      <c r="F3" s="5" t="s">
        <v>258</v>
      </c>
      <c r="G3" s="5" t="s">
        <v>261</v>
      </c>
      <c r="H3" s="5" t="s">
        <v>272</v>
      </c>
      <c r="I3" s="5" t="s">
        <v>271</v>
      </c>
      <c r="J3" s="5" t="s">
        <v>263</v>
      </c>
      <c r="K3" s="5" t="s">
        <v>264</v>
      </c>
      <c r="L3" s="5" t="s">
        <v>273</v>
      </c>
      <c r="M3" s="5"/>
      <c r="N3" s="5" t="s">
        <v>274</v>
      </c>
      <c r="O3" s="5"/>
      <c r="P3" s="5"/>
      <c r="Q3" s="5" t="s">
        <v>275</v>
      </c>
      <c r="R3" s="5"/>
      <c r="S3" s="5"/>
      <c r="T3" s="5"/>
      <c r="U3" s="5" t="s">
        <v>268</v>
      </c>
      <c r="V3" s="5" t="s">
        <v>269</v>
      </c>
      <c r="W3" s="9">
        <v>45435.847650463</v>
      </c>
      <c r="X3" s="5"/>
      <c r="Y3" s="5"/>
      <c r="Z3" s="5"/>
      <c r="AA3" s="5"/>
      <c r="AB3" s="5">
        <v>45428.725462963</v>
      </c>
      <c r="AC3" s="5" t="s">
        <v>270</v>
      </c>
    </row>
    <row r="4" s="1" customFormat="1" ht="17.25" customHeight="1" spans="1:29">
      <c r="A4" s="6" t="s">
        <v>276</v>
      </c>
      <c r="B4" s="6" t="s">
        <v>258</v>
      </c>
      <c r="C4" s="6" t="s">
        <v>259</v>
      </c>
      <c r="D4" s="6" t="s">
        <v>260</v>
      </c>
      <c r="E4" s="6"/>
      <c r="F4" s="6" t="s">
        <v>258</v>
      </c>
      <c r="G4" s="6" t="s">
        <v>261</v>
      </c>
      <c r="H4" s="6" t="s">
        <v>277</v>
      </c>
      <c r="I4" s="6" t="s">
        <v>276</v>
      </c>
      <c r="J4" s="6" t="s">
        <v>263</v>
      </c>
      <c r="K4" s="6" t="s">
        <v>264</v>
      </c>
      <c r="L4" s="6" t="s">
        <v>278</v>
      </c>
      <c r="M4" s="6"/>
      <c r="N4" s="6" t="s">
        <v>279</v>
      </c>
      <c r="O4" s="6"/>
      <c r="P4" s="6"/>
      <c r="Q4" s="6" t="s">
        <v>280</v>
      </c>
      <c r="R4" s="6"/>
      <c r="S4" s="6"/>
      <c r="T4" s="6"/>
      <c r="U4" s="6" t="s">
        <v>268</v>
      </c>
      <c r="V4" s="6" t="s">
        <v>269</v>
      </c>
      <c r="W4" s="10">
        <v>45435.8187731481</v>
      </c>
      <c r="X4" s="6"/>
      <c r="Y4" s="6"/>
      <c r="Z4" s="6"/>
      <c r="AA4" s="6"/>
      <c r="AB4" s="6">
        <v>45428.725462963</v>
      </c>
      <c r="AC4" s="6" t="s">
        <v>270</v>
      </c>
    </row>
    <row r="5" s="1" customFormat="1" ht="17.25" customHeight="1" spans="1:29">
      <c r="A5" s="5" t="s">
        <v>281</v>
      </c>
      <c r="B5" s="5" t="s">
        <v>258</v>
      </c>
      <c r="C5" s="5" t="s">
        <v>259</v>
      </c>
      <c r="D5" s="5" t="s">
        <v>260</v>
      </c>
      <c r="E5" s="5"/>
      <c r="F5" s="5" t="s">
        <v>258</v>
      </c>
      <c r="G5" s="5" t="s">
        <v>261</v>
      </c>
      <c r="H5" s="5" t="s">
        <v>282</v>
      </c>
      <c r="I5" s="5" t="s">
        <v>281</v>
      </c>
      <c r="J5" s="5" t="s">
        <v>283</v>
      </c>
      <c r="K5" s="5" t="s">
        <v>284</v>
      </c>
      <c r="L5" s="5" t="s">
        <v>285</v>
      </c>
      <c r="M5" s="5"/>
      <c r="N5" s="5" t="s">
        <v>286</v>
      </c>
      <c r="O5" s="5"/>
      <c r="P5" s="5"/>
      <c r="Q5" s="5" t="s">
        <v>287</v>
      </c>
      <c r="R5" s="5"/>
      <c r="S5" s="5"/>
      <c r="T5" s="5"/>
      <c r="U5" s="5" t="s">
        <v>268</v>
      </c>
      <c r="V5" s="5" t="s">
        <v>269</v>
      </c>
      <c r="W5" s="9">
        <v>45435.8489236111</v>
      </c>
      <c r="X5" s="5"/>
      <c r="Y5" s="5"/>
      <c r="Z5" s="5"/>
      <c r="AA5" s="5"/>
      <c r="AB5" s="5">
        <v>45428.725462963</v>
      </c>
      <c r="AC5" s="5" t="s">
        <v>270</v>
      </c>
    </row>
    <row r="6" s="1" customFormat="1" ht="17.25" customHeight="1" spans="1:29">
      <c r="A6" s="6" t="s">
        <v>288</v>
      </c>
      <c r="B6" s="6" t="s">
        <v>258</v>
      </c>
      <c r="C6" s="6" t="s">
        <v>259</v>
      </c>
      <c r="D6" s="6" t="s">
        <v>260</v>
      </c>
      <c r="E6" s="6"/>
      <c r="F6" s="6" t="s">
        <v>258</v>
      </c>
      <c r="G6" s="6" t="s">
        <v>261</v>
      </c>
      <c r="H6" s="6" t="s">
        <v>289</v>
      </c>
      <c r="I6" s="6" t="s">
        <v>288</v>
      </c>
      <c r="J6" s="6" t="s">
        <v>290</v>
      </c>
      <c r="K6" s="6" t="s">
        <v>291</v>
      </c>
      <c r="L6" s="6" t="s">
        <v>292</v>
      </c>
      <c r="M6" s="6"/>
      <c r="N6" s="6" t="s">
        <v>293</v>
      </c>
      <c r="O6" s="6"/>
      <c r="P6" s="6"/>
      <c r="Q6" s="6" t="s">
        <v>294</v>
      </c>
      <c r="R6" s="6"/>
      <c r="S6" s="6"/>
      <c r="T6" s="6"/>
      <c r="U6" s="6" t="s">
        <v>268</v>
      </c>
      <c r="V6" s="6" t="s">
        <v>269</v>
      </c>
      <c r="W6" s="10">
        <v>45435.8495833333</v>
      </c>
      <c r="X6" s="6"/>
      <c r="Y6" s="6"/>
      <c r="Z6" s="6"/>
      <c r="AA6" s="6"/>
      <c r="AB6" s="6">
        <v>45428.725462963</v>
      </c>
      <c r="AC6" s="6" t="s">
        <v>270</v>
      </c>
    </row>
    <row r="7" s="1" customFormat="1" ht="17.25" customHeight="1" spans="1:29">
      <c r="A7" s="5" t="s">
        <v>295</v>
      </c>
      <c r="B7" s="5" t="s">
        <v>258</v>
      </c>
      <c r="C7" s="5" t="s">
        <v>259</v>
      </c>
      <c r="D7" s="5" t="s">
        <v>260</v>
      </c>
      <c r="E7" s="5"/>
      <c r="F7" s="5" t="s">
        <v>258</v>
      </c>
      <c r="G7" s="5" t="s">
        <v>261</v>
      </c>
      <c r="H7" s="5" t="s">
        <v>296</v>
      </c>
      <c r="I7" s="5" t="s">
        <v>295</v>
      </c>
      <c r="J7" s="5" t="s">
        <v>297</v>
      </c>
      <c r="K7" s="5" t="s">
        <v>298</v>
      </c>
      <c r="L7" s="5" t="s">
        <v>299</v>
      </c>
      <c r="M7" s="5"/>
      <c r="N7" s="5" t="s">
        <v>300</v>
      </c>
      <c r="O7" s="5"/>
      <c r="P7" s="5"/>
      <c r="Q7" s="5" t="s">
        <v>301</v>
      </c>
      <c r="R7" s="5"/>
      <c r="S7" s="5"/>
      <c r="T7" s="5"/>
      <c r="U7" s="5" t="s">
        <v>268</v>
      </c>
      <c r="V7" s="5" t="s">
        <v>269</v>
      </c>
      <c r="W7" s="9">
        <v>45435.832337963</v>
      </c>
      <c r="X7" s="5"/>
      <c r="Y7" s="5"/>
      <c r="Z7" s="5"/>
      <c r="AA7" s="5"/>
      <c r="AB7" s="5">
        <v>45428.725462963</v>
      </c>
      <c r="AC7" s="5" t="s">
        <v>270</v>
      </c>
    </row>
    <row r="8" s="1" customFormat="1" ht="17.25" customHeight="1" spans="1:29">
      <c r="A8" s="6" t="s">
        <v>302</v>
      </c>
      <c r="B8" s="6" t="s">
        <v>258</v>
      </c>
      <c r="C8" s="6" t="s">
        <v>259</v>
      </c>
      <c r="D8" s="6" t="s">
        <v>260</v>
      </c>
      <c r="E8" s="6"/>
      <c r="F8" s="6" t="s">
        <v>258</v>
      </c>
      <c r="G8" s="6" t="s">
        <v>261</v>
      </c>
      <c r="H8" s="6" t="s">
        <v>303</v>
      </c>
      <c r="I8" s="6" t="s">
        <v>302</v>
      </c>
      <c r="J8" s="6" t="s">
        <v>304</v>
      </c>
      <c r="K8" s="6" t="s">
        <v>305</v>
      </c>
      <c r="L8" s="6" t="s">
        <v>306</v>
      </c>
      <c r="M8" s="6"/>
      <c r="N8" s="6" t="s">
        <v>307</v>
      </c>
      <c r="O8" s="6"/>
      <c r="P8" s="6"/>
      <c r="Q8" s="6" t="s">
        <v>308</v>
      </c>
      <c r="R8" s="6"/>
      <c r="S8" s="6"/>
      <c r="T8" s="6"/>
      <c r="U8" s="6" t="s">
        <v>268</v>
      </c>
      <c r="V8" s="6" t="s">
        <v>269</v>
      </c>
      <c r="W8" s="10">
        <v>45435.8507291667</v>
      </c>
      <c r="X8" s="6"/>
      <c r="Y8" s="6"/>
      <c r="Z8" s="6"/>
      <c r="AA8" s="6"/>
      <c r="AB8" s="6">
        <v>45428.725462963</v>
      </c>
      <c r="AC8" s="6" t="s">
        <v>270</v>
      </c>
    </row>
    <row r="9" s="1" customFormat="1" ht="17.25" customHeight="1" spans="1:29">
      <c r="A9" s="5" t="s">
        <v>309</v>
      </c>
      <c r="B9" s="5" t="s">
        <v>258</v>
      </c>
      <c r="C9" s="5" t="s">
        <v>259</v>
      </c>
      <c r="D9" s="5" t="s">
        <v>260</v>
      </c>
      <c r="E9" s="5"/>
      <c r="F9" s="5" t="s">
        <v>258</v>
      </c>
      <c r="G9" s="5" t="s">
        <v>261</v>
      </c>
      <c r="H9" s="5" t="s">
        <v>310</v>
      </c>
      <c r="I9" s="5" t="s">
        <v>309</v>
      </c>
      <c r="J9" s="5" t="s">
        <v>304</v>
      </c>
      <c r="K9" s="5" t="s">
        <v>305</v>
      </c>
      <c r="L9" s="5" t="s">
        <v>306</v>
      </c>
      <c r="M9" s="5"/>
      <c r="N9" s="5" t="s">
        <v>311</v>
      </c>
      <c r="O9" s="5"/>
      <c r="P9" s="5"/>
      <c r="Q9" s="5" t="s">
        <v>308</v>
      </c>
      <c r="R9" s="5"/>
      <c r="S9" s="5"/>
      <c r="T9" s="5"/>
      <c r="U9" s="5" t="s">
        <v>268</v>
      </c>
      <c r="V9" s="5" t="s">
        <v>269</v>
      </c>
      <c r="W9" s="9">
        <v>45428.7690162037</v>
      </c>
      <c r="X9" s="5"/>
      <c r="Y9" s="5"/>
      <c r="Z9" s="5"/>
      <c r="AA9" s="5"/>
      <c r="AB9" s="5">
        <v>45428.725462963</v>
      </c>
      <c r="AC9" s="5" t="s">
        <v>269</v>
      </c>
    </row>
    <row r="10" s="1" customFormat="1" ht="17.25" customHeight="1" spans="1:29">
      <c r="A10" s="6" t="s">
        <v>312</v>
      </c>
      <c r="B10" s="6" t="s">
        <v>258</v>
      </c>
      <c r="C10" s="6" t="s">
        <v>259</v>
      </c>
      <c r="D10" s="6" t="s">
        <v>260</v>
      </c>
      <c r="E10" s="6"/>
      <c r="F10" s="6" t="s">
        <v>258</v>
      </c>
      <c r="G10" s="6" t="s">
        <v>261</v>
      </c>
      <c r="H10" s="6" t="s">
        <v>313</v>
      </c>
      <c r="I10" s="6" t="s">
        <v>312</v>
      </c>
      <c r="J10" s="6" t="s">
        <v>304</v>
      </c>
      <c r="K10" s="6" t="s">
        <v>305</v>
      </c>
      <c r="L10" s="6" t="s">
        <v>314</v>
      </c>
      <c r="M10" s="6"/>
      <c r="N10" s="6" t="s">
        <v>315</v>
      </c>
      <c r="O10" s="6"/>
      <c r="P10" s="6"/>
      <c r="Q10" s="6" t="s">
        <v>316</v>
      </c>
      <c r="R10" s="6"/>
      <c r="S10" s="6"/>
      <c r="T10" s="6"/>
      <c r="U10" s="6" t="s">
        <v>268</v>
      </c>
      <c r="V10" s="6" t="s">
        <v>269</v>
      </c>
      <c r="W10" s="10">
        <v>45435.8503935185</v>
      </c>
      <c r="X10" s="6"/>
      <c r="Y10" s="6"/>
      <c r="Z10" s="6"/>
      <c r="AA10" s="6"/>
      <c r="AB10" s="6">
        <v>45428.725462963</v>
      </c>
      <c r="AC10" s="6" t="s">
        <v>270</v>
      </c>
    </row>
    <row r="11" s="1" customFormat="1" ht="17.25" customHeight="1" spans="1:29">
      <c r="A11" s="5" t="s">
        <v>317</v>
      </c>
      <c r="B11" s="5" t="s">
        <v>258</v>
      </c>
      <c r="C11" s="5" t="s">
        <v>259</v>
      </c>
      <c r="D11" s="5" t="s">
        <v>260</v>
      </c>
      <c r="E11" s="5"/>
      <c r="F11" s="5" t="s">
        <v>258</v>
      </c>
      <c r="G11" s="5" t="s">
        <v>261</v>
      </c>
      <c r="H11" s="5" t="s">
        <v>318</v>
      </c>
      <c r="I11" s="5" t="s">
        <v>317</v>
      </c>
      <c r="J11" s="5" t="s">
        <v>304</v>
      </c>
      <c r="K11" s="5" t="s">
        <v>305</v>
      </c>
      <c r="L11" s="5" t="s">
        <v>319</v>
      </c>
      <c r="M11" s="5"/>
      <c r="N11" s="5" t="s">
        <v>320</v>
      </c>
      <c r="O11" s="5"/>
      <c r="P11" s="5"/>
      <c r="Q11" s="5" t="s">
        <v>321</v>
      </c>
      <c r="R11" s="5"/>
      <c r="S11" s="5"/>
      <c r="T11" s="5"/>
      <c r="U11" s="5" t="s">
        <v>268</v>
      </c>
      <c r="V11" s="5" t="s">
        <v>269</v>
      </c>
      <c r="W11" s="9">
        <v>45435.8510416667</v>
      </c>
      <c r="X11" s="5"/>
      <c r="Y11" s="5"/>
      <c r="Z11" s="5"/>
      <c r="AA11" s="5"/>
      <c r="AB11" s="5">
        <v>45428.725462963</v>
      </c>
      <c r="AC11" s="5" t="s">
        <v>270</v>
      </c>
    </row>
    <row r="12" s="1" customFormat="1" ht="17.25" customHeight="1" spans="1:29">
      <c r="A12" s="6" t="s">
        <v>322</v>
      </c>
      <c r="B12" s="6" t="s">
        <v>258</v>
      </c>
      <c r="C12" s="6" t="s">
        <v>259</v>
      </c>
      <c r="D12" s="6" t="s">
        <v>260</v>
      </c>
      <c r="E12" s="6"/>
      <c r="F12" s="6" t="s">
        <v>258</v>
      </c>
      <c r="G12" s="6" t="s">
        <v>261</v>
      </c>
      <c r="H12" s="6" t="s">
        <v>323</v>
      </c>
      <c r="I12" s="6" t="s">
        <v>322</v>
      </c>
      <c r="J12" s="6" t="s">
        <v>324</v>
      </c>
      <c r="K12" s="6" t="s">
        <v>325</v>
      </c>
      <c r="L12" s="6" t="s">
        <v>326</v>
      </c>
      <c r="M12" s="6"/>
      <c r="N12" s="6" t="s">
        <v>327</v>
      </c>
      <c r="O12" s="6"/>
      <c r="P12" s="6"/>
      <c r="Q12" s="6" t="s">
        <v>328</v>
      </c>
      <c r="R12" s="6"/>
      <c r="S12" s="6"/>
      <c r="T12" s="6"/>
      <c r="U12" s="6" t="s">
        <v>268</v>
      </c>
      <c r="V12" s="6" t="s">
        <v>269</v>
      </c>
      <c r="W12" s="10">
        <v>45435.8375694444</v>
      </c>
      <c r="X12" s="6"/>
      <c r="Y12" s="6"/>
      <c r="Z12" s="6"/>
      <c r="AA12" s="6"/>
      <c r="AB12" s="6">
        <v>45428.725462963</v>
      </c>
      <c r="AC12" s="6" t="s">
        <v>270</v>
      </c>
    </row>
    <row r="13" s="1" customFormat="1" ht="17.25" customHeight="1" spans="1:29">
      <c r="A13" s="5" t="s">
        <v>329</v>
      </c>
      <c r="B13" s="5" t="s">
        <v>258</v>
      </c>
      <c r="C13" s="5" t="s">
        <v>259</v>
      </c>
      <c r="D13" s="5" t="s">
        <v>260</v>
      </c>
      <c r="E13" s="5"/>
      <c r="F13" s="5" t="s">
        <v>258</v>
      </c>
      <c r="G13" s="5" t="s">
        <v>261</v>
      </c>
      <c r="H13" s="5" t="s">
        <v>330</v>
      </c>
      <c r="I13" s="5" t="s">
        <v>329</v>
      </c>
      <c r="J13" s="5" t="s">
        <v>331</v>
      </c>
      <c r="K13" s="5" t="s">
        <v>332</v>
      </c>
      <c r="L13" s="5" t="s">
        <v>333</v>
      </c>
      <c r="M13" s="5"/>
      <c r="N13" s="5" t="s">
        <v>334</v>
      </c>
      <c r="O13" s="5"/>
      <c r="P13" s="5"/>
      <c r="Q13" s="5" t="s">
        <v>335</v>
      </c>
      <c r="R13" s="5"/>
      <c r="S13" s="5"/>
      <c r="T13" s="5"/>
      <c r="U13" s="5" t="s">
        <v>268</v>
      </c>
      <c r="V13" s="5" t="s">
        <v>269</v>
      </c>
      <c r="W13" s="9">
        <v>45435.8162037037</v>
      </c>
      <c r="X13" s="5"/>
      <c r="Y13" s="5"/>
      <c r="Z13" s="5"/>
      <c r="AA13" s="5"/>
      <c r="AB13" s="5">
        <v>45428.725462963</v>
      </c>
      <c r="AC13" s="5" t="s">
        <v>270</v>
      </c>
    </row>
    <row r="14" s="1" customFormat="1" ht="17.25" customHeight="1" spans="1:29">
      <c r="A14" s="6" t="s">
        <v>336</v>
      </c>
      <c r="B14" s="6" t="s">
        <v>258</v>
      </c>
      <c r="C14" s="6" t="s">
        <v>259</v>
      </c>
      <c r="D14" s="6" t="s">
        <v>260</v>
      </c>
      <c r="E14" s="6"/>
      <c r="F14" s="6" t="s">
        <v>258</v>
      </c>
      <c r="G14" s="6" t="s">
        <v>261</v>
      </c>
      <c r="H14" s="6" t="s">
        <v>337</v>
      </c>
      <c r="I14" s="6" t="s">
        <v>336</v>
      </c>
      <c r="J14" s="6" t="s">
        <v>338</v>
      </c>
      <c r="K14" s="6" t="s">
        <v>339</v>
      </c>
      <c r="L14" s="6" t="s">
        <v>340</v>
      </c>
      <c r="M14" s="6"/>
      <c r="N14" s="6" t="s">
        <v>341</v>
      </c>
      <c r="O14" s="6"/>
      <c r="P14" s="6"/>
      <c r="Q14" s="6" t="s">
        <v>342</v>
      </c>
      <c r="R14" s="6"/>
      <c r="S14" s="6"/>
      <c r="T14" s="6"/>
      <c r="U14" s="6" t="s">
        <v>268</v>
      </c>
      <c r="V14" s="6" t="s">
        <v>269</v>
      </c>
      <c r="W14" s="10">
        <v>45428.7690162037</v>
      </c>
      <c r="X14" s="6"/>
      <c r="Y14" s="6"/>
      <c r="Z14" s="6"/>
      <c r="AA14" s="6"/>
      <c r="AB14" s="6">
        <v>45428.725462963</v>
      </c>
      <c r="AC14" s="6" t="s">
        <v>269</v>
      </c>
    </row>
    <row r="15" s="1" customFormat="1" ht="17.25" customHeight="1" spans="1:29">
      <c r="A15" s="5" t="s">
        <v>343</v>
      </c>
      <c r="B15" s="5" t="s">
        <v>258</v>
      </c>
      <c r="C15" s="5" t="s">
        <v>259</v>
      </c>
      <c r="D15" s="5" t="s">
        <v>260</v>
      </c>
      <c r="E15" s="5"/>
      <c r="F15" s="5" t="s">
        <v>258</v>
      </c>
      <c r="G15" s="5" t="s">
        <v>261</v>
      </c>
      <c r="H15" s="5" t="s">
        <v>344</v>
      </c>
      <c r="I15" s="5" t="s">
        <v>343</v>
      </c>
      <c r="J15" s="5" t="s">
        <v>324</v>
      </c>
      <c r="K15" s="5" t="s">
        <v>325</v>
      </c>
      <c r="L15" s="5" t="s">
        <v>345</v>
      </c>
      <c r="M15" s="5"/>
      <c r="N15" s="5" t="s">
        <v>346</v>
      </c>
      <c r="O15" s="5"/>
      <c r="P15" s="5"/>
      <c r="Q15" s="5" t="s">
        <v>347</v>
      </c>
      <c r="R15" s="5"/>
      <c r="S15" s="5"/>
      <c r="T15" s="5"/>
      <c r="U15" s="5" t="s">
        <v>268</v>
      </c>
      <c r="V15" s="5" t="s">
        <v>269</v>
      </c>
      <c r="W15" s="9">
        <v>45435.8171064815</v>
      </c>
      <c r="X15" s="5"/>
      <c r="Y15" s="5"/>
      <c r="Z15" s="5"/>
      <c r="AA15" s="5"/>
      <c r="AB15" s="5">
        <v>45428.725462963</v>
      </c>
      <c r="AC15" s="5" t="s">
        <v>270</v>
      </c>
    </row>
    <row r="16" s="1" customFormat="1" ht="17.25" customHeight="1" spans="1:29">
      <c r="A16" s="6" t="s">
        <v>348</v>
      </c>
      <c r="B16" s="6" t="s">
        <v>258</v>
      </c>
      <c r="C16" s="6" t="s">
        <v>259</v>
      </c>
      <c r="D16" s="6" t="s">
        <v>260</v>
      </c>
      <c r="E16" s="6"/>
      <c r="F16" s="6" t="s">
        <v>258</v>
      </c>
      <c r="G16" s="6" t="s">
        <v>261</v>
      </c>
      <c r="H16" s="6" t="s">
        <v>349</v>
      </c>
      <c r="I16" s="6" t="s">
        <v>348</v>
      </c>
      <c r="J16" s="6" t="s">
        <v>350</v>
      </c>
      <c r="K16" s="6" t="s">
        <v>351</v>
      </c>
      <c r="L16" s="6" t="s">
        <v>352</v>
      </c>
      <c r="M16" s="6"/>
      <c r="N16" s="6" t="s">
        <v>353</v>
      </c>
      <c r="O16" s="6"/>
      <c r="P16" s="6"/>
      <c r="Q16" s="6" t="s">
        <v>354</v>
      </c>
      <c r="R16" s="6"/>
      <c r="S16" s="6"/>
      <c r="T16" s="6"/>
      <c r="U16" s="6" t="s">
        <v>268</v>
      </c>
      <c r="V16" s="6" t="s">
        <v>269</v>
      </c>
      <c r="W16" s="10">
        <v>45435.8342592593</v>
      </c>
      <c r="X16" s="6"/>
      <c r="Y16" s="6"/>
      <c r="Z16" s="6"/>
      <c r="AA16" s="6"/>
      <c r="AB16" s="6">
        <v>45428.725462963</v>
      </c>
      <c r="AC16" s="6" t="s">
        <v>270</v>
      </c>
    </row>
    <row r="17" s="1" customFormat="1" ht="17.25" customHeight="1" spans="1:29">
      <c r="A17" s="5" t="s">
        <v>355</v>
      </c>
      <c r="B17" s="5" t="s">
        <v>258</v>
      </c>
      <c r="C17" s="5" t="s">
        <v>259</v>
      </c>
      <c r="D17" s="5" t="s">
        <v>260</v>
      </c>
      <c r="E17" s="5"/>
      <c r="F17" s="5" t="s">
        <v>258</v>
      </c>
      <c r="G17" s="5" t="s">
        <v>261</v>
      </c>
      <c r="H17" s="5" t="s">
        <v>356</v>
      </c>
      <c r="I17" s="5" t="s">
        <v>355</v>
      </c>
      <c r="J17" s="5" t="s">
        <v>357</v>
      </c>
      <c r="K17" s="5" t="s">
        <v>358</v>
      </c>
      <c r="L17" s="5" t="s">
        <v>359</v>
      </c>
      <c r="M17" s="5"/>
      <c r="N17" s="5" t="s">
        <v>360</v>
      </c>
      <c r="O17" s="5"/>
      <c r="P17" s="5"/>
      <c r="Q17" s="5" t="s">
        <v>361</v>
      </c>
      <c r="R17" s="5"/>
      <c r="S17" s="5"/>
      <c r="T17" s="5"/>
      <c r="U17" s="5" t="s">
        <v>268</v>
      </c>
      <c r="V17" s="5" t="s">
        <v>269</v>
      </c>
      <c r="W17" s="9">
        <v>45435.8528935185</v>
      </c>
      <c r="X17" s="5"/>
      <c r="Y17" s="5"/>
      <c r="Z17" s="5"/>
      <c r="AA17" s="5"/>
      <c r="AB17" s="5">
        <v>45428.725462963</v>
      </c>
      <c r="AC17" s="5" t="s">
        <v>270</v>
      </c>
    </row>
    <row r="18" s="1" customFormat="1" ht="17.25" customHeight="1" spans="1:29">
      <c r="A18" s="6" t="s">
        <v>362</v>
      </c>
      <c r="B18" s="6" t="s">
        <v>258</v>
      </c>
      <c r="C18" s="6" t="s">
        <v>259</v>
      </c>
      <c r="D18" s="6" t="s">
        <v>260</v>
      </c>
      <c r="E18" s="6"/>
      <c r="F18" s="6" t="s">
        <v>258</v>
      </c>
      <c r="G18" s="6" t="s">
        <v>261</v>
      </c>
      <c r="H18" s="6" t="s">
        <v>363</v>
      </c>
      <c r="I18" s="6" t="s">
        <v>362</v>
      </c>
      <c r="J18" s="6" t="s">
        <v>364</v>
      </c>
      <c r="K18" s="6" t="s">
        <v>365</v>
      </c>
      <c r="L18" s="6" t="s">
        <v>366</v>
      </c>
      <c r="M18" s="6"/>
      <c r="N18" s="6" t="s">
        <v>367</v>
      </c>
      <c r="O18" s="6"/>
      <c r="P18" s="6"/>
      <c r="Q18" s="6" t="s">
        <v>368</v>
      </c>
      <c r="R18" s="6"/>
      <c r="S18" s="6"/>
      <c r="T18" s="6"/>
      <c r="U18" s="6" t="s">
        <v>268</v>
      </c>
      <c r="V18" s="6" t="s">
        <v>269</v>
      </c>
      <c r="W18" s="10">
        <v>45435.8536689815</v>
      </c>
      <c r="X18" s="6"/>
      <c r="Y18" s="6"/>
      <c r="Z18" s="6"/>
      <c r="AA18" s="6"/>
      <c r="AB18" s="6">
        <v>45428.725462963</v>
      </c>
      <c r="AC18" s="6" t="s">
        <v>270</v>
      </c>
    </row>
    <row r="19" s="1" customFormat="1" ht="17.25" customHeight="1" spans="1:29">
      <c r="A19" s="5" t="s">
        <v>369</v>
      </c>
      <c r="B19" s="5" t="s">
        <v>258</v>
      </c>
      <c r="C19" s="5" t="s">
        <v>259</v>
      </c>
      <c r="D19" s="5" t="s">
        <v>260</v>
      </c>
      <c r="E19" s="5"/>
      <c r="F19" s="5" t="s">
        <v>258</v>
      </c>
      <c r="G19" s="5" t="s">
        <v>261</v>
      </c>
      <c r="H19" s="5" t="s">
        <v>370</v>
      </c>
      <c r="I19" s="5" t="s">
        <v>369</v>
      </c>
      <c r="J19" s="5" t="s">
        <v>371</v>
      </c>
      <c r="K19" s="5" t="s">
        <v>372</v>
      </c>
      <c r="L19" s="5" t="s">
        <v>373</v>
      </c>
      <c r="M19" s="5"/>
      <c r="N19" s="5" t="s">
        <v>374</v>
      </c>
      <c r="O19" s="5"/>
      <c r="P19" s="5"/>
      <c r="Q19" s="5" t="s">
        <v>375</v>
      </c>
      <c r="R19" s="5"/>
      <c r="S19" s="5"/>
      <c r="T19" s="5"/>
      <c r="U19" s="5" t="s">
        <v>268</v>
      </c>
      <c r="V19" s="5" t="s">
        <v>269</v>
      </c>
      <c r="W19" s="9">
        <v>45435.8536689815</v>
      </c>
      <c r="X19" s="5"/>
      <c r="Y19" s="5"/>
      <c r="Z19" s="5"/>
      <c r="AA19" s="5"/>
      <c r="AB19" s="5">
        <v>45428.725462963</v>
      </c>
      <c r="AC19" s="5" t="s">
        <v>270</v>
      </c>
    </row>
    <row r="20" s="1" customFormat="1" ht="17.25" customHeight="1" spans="1:29">
      <c r="A20" s="6" t="s">
        <v>376</v>
      </c>
      <c r="B20" s="6" t="s">
        <v>258</v>
      </c>
      <c r="C20" s="6" t="s">
        <v>259</v>
      </c>
      <c r="D20" s="6" t="s">
        <v>260</v>
      </c>
      <c r="E20" s="6"/>
      <c r="F20" s="6" t="s">
        <v>258</v>
      </c>
      <c r="G20" s="6" t="s">
        <v>261</v>
      </c>
      <c r="H20" s="6" t="s">
        <v>377</v>
      </c>
      <c r="I20" s="6" t="s">
        <v>376</v>
      </c>
      <c r="J20" s="6" t="s">
        <v>378</v>
      </c>
      <c r="K20" s="6" t="s">
        <v>379</v>
      </c>
      <c r="L20" s="6" t="s">
        <v>380</v>
      </c>
      <c r="M20" s="6"/>
      <c r="N20" s="6" t="s">
        <v>381</v>
      </c>
      <c r="O20" s="6"/>
      <c r="P20" s="6"/>
      <c r="Q20" s="6" t="s">
        <v>382</v>
      </c>
      <c r="R20" s="6"/>
      <c r="S20" s="6"/>
      <c r="T20" s="6"/>
      <c r="U20" s="6" t="s">
        <v>268</v>
      </c>
      <c r="V20" s="6" t="s">
        <v>269</v>
      </c>
      <c r="W20" s="10">
        <v>45435.8536689815</v>
      </c>
      <c r="X20" s="6"/>
      <c r="Y20" s="6"/>
      <c r="Z20" s="6"/>
      <c r="AA20" s="6"/>
      <c r="AB20" s="6">
        <v>45428.725462963</v>
      </c>
      <c r="AC20" s="6" t="s">
        <v>270</v>
      </c>
    </row>
    <row r="21" s="1" customFormat="1" ht="17.25" customHeight="1" spans="1:29">
      <c r="A21" s="5" t="s">
        <v>383</v>
      </c>
      <c r="B21" s="5" t="s">
        <v>258</v>
      </c>
      <c r="C21" s="5" t="s">
        <v>259</v>
      </c>
      <c r="D21" s="5" t="s">
        <v>260</v>
      </c>
      <c r="E21" s="5"/>
      <c r="F21" s="5" t="s">
        <v>258</v>
      </c>
      <c r="G21" s="5" t="s">
        <v>261</v>
      </c>
      <c r="H21" s="5" t="s">
        <v>384</v>
      </c>
      <c r="I21" s="5" t="s">
        <v>383</v>
      </c>
      <c r="J21" s="5" t="s">
        <v>378</v>
      </c>
      <c r="K21" s="5" t="s">
        <v>379</v>
      </c>
      <c r="L21" s="5" t="s">
        <v>385</v>
      </c>
      <c r="M21" s="5"/>
      <c r="N21" s="5" t="s">
        <v>386</v>
      </c>
      <c r="O21" s="5"/>
      <c r="P21" s="5"/>
      <c r="Q21" s="5" t="s">
        <v>387</v>
      </c>
      <c r="R21" s="5"/>
      <c r="S21" s="5"/>
      <c r="T21" s="5"/>
      <c r="U21" s="5" t="s">
        <v>268</v>
      </c>
      <c r="V21" s="5" t="s">
        <v>269</v>
      </c>
      <c r="W21" s="9">
        <v>45435.8536689815</v>
      </c>
      <c r="X21" s="5"/>
      <c r="Y21" s="5"/>
      <c r="Z21" s="5"/>
      <c r="AA21" s="5"/>
      <c r="AB21" s="5">
        <v>45428.725462963</v>
      </c>
      <c r="AC21" s="5" t="s">
        <v>270</v>
      </c>
    </row>
    <row r="22" s="1" customFormat="1" ht="17.25" customHeight="1" spans="1:29">
      <c r="A22" s="6" t="s">
        <v>388</v>
      </c>
      <c r="B22" s="6" t="s">
        <v>389</v>
      </c>
      <c r="C22" s="6" t="s">
        <v>259</v>
      </c>
      <c r="D22" s="6" t="s">
        <v>27</v>
      </c>
      <c r="E22" s="6"/>
      <c r="F22" s="6" t="s">
        <v>389</v>
      </c>
      <c r="G22" s="6" t="s">
        <v>261</v>
      </c>
      <c r="H22" s="6">
        <v>983</v>
      </c>
      <c r="I22" s="6" t="s">
        <v>388</v>
      </c>
      <c r="J22" s="6" t="s">
        <v>338</v>
      </c>
      <c r="K22" s="6" t="s">
        <v>339</v>
      </c>
      <c r="L22" s="6" t="s">
        <v>390</v>
      </c>
      <c r="M22" s="6"/>
      <c r="N22" s="6" t="s">
        <v>391</v>
      </c>
      <c r="O22" s="6"/>
      <c r="P22" s="6"/>
      <c r="Q22" s="6">
        <v>93725</v>
      </c>
      <c r="R22" s="6"/>
      <c r="S22" s="6"/>
      <c r="T22" s="6"/>
      <c r="U22" s="6"/>
      <c r="V22" s="6"/>
      <c r="W22" s="10"/>
      <c r="X22" s="6"/>
      <c r="Y22" s="6"/>
      <c r="Z22" s="6"/>
      <c r="AA22" s="6"/>
      <c r="AB22" s="6"/>
      <c r="AC22" s="6"/>
    </row>
    <row r="23" s="1" customFormat="1" ht="17.25" customHeight="1" spans="1:29">
      <c r="A23" s="5" t="s">
        <v>392</v>
      </c>
      <c r="B23" s="5" t="s">
        <v>389</v>
      </c>
      <c r="C23" s="5" t="s">
        <v>259</v>
      </c>
      <c r="D23" s="5" t="s">
        <v>27</v>
      </c>
      <c r="E23" s="5"/>
      <c r="F23" s="5" t="s">
        <v>389</v>
      </c>
      <c r="G23" s="5" t="s">
        <v>261</v>
      </c>
      <c r="H23" s="5">
        <v>982</v>
      </c>
      <c r="I23" s="5" t="s">
        <v>392</v>
      </c>
      <c r="J23" s="5" t="s">
        <v>338</v>
      </c>
      <c r="K23" s="5" t="s">
        <v>339</v>
      </c>
      <c r="L23" s="5" t="s">
        <v>393</v>
      </c>
      <c r="M23" s="5"/>
      <c r="N23" s="5" t="s">
        <v>394</v>
      </c>
      <c r="O23" s="5"/>
      <c r="P23" s="5"/>
      <c r="Q23" s="5">
        <v>92374</v>
      </c>
      <c r="R23" s="5"/>
      <c r="S23" s="5"/>
      <c r="T23" s="5"/>
      <c r="U23" s="5"/>
      <c r="V23" s="5"/>
      <c r="W23" s="9"/>
      <c r="X23" s="5"/>
      <c r="Y23" s="5"/>
      <c r="Z23" s="5"/>
      <c r="AA23" s="5"/>
      <c r="AB23" s="5"/>
      <c r="AC23" s="5"/>
    </row>
    <row r="24" s="1" customFormat="1" ht="17.25" customHeight="1" spans="1:29">
      <c r="A24" s="6" t="s">
        <v>395</v>
      </c>
      <c r="B24" s="6" t="s">
        <v>389</v>
      </c>
      <c r="C24" s="6" t="s">
        <v>259</v>
      </c>
      <c r="D24" s="6" t="s">
        <v>27</v>
      </c>
      <c r="E24" s="6"/>
      <c r="F24" s="6" t="s">
        <v>389</v>
      </c>
      <c r="G24" s="6" t="s">
        <v>261</v>
      </c>
      <c r="H24" s="6">
        <v>969</v>
      </c>
      <c r="I24" s="6" t="s">
        <v>395</v>
      </c>
      <c r="J24" s="6" t="s">
        <v>297</v>
      </c>
      <c r="K24" s="6" t="s">
        <v>298</v>
      </c>
      <c r="L24" s="6" t="s">
        <v>396</v>
      </c>
      <c r="M24" s="6"/>
      <c r="N24" s="6" t="s">
        <v>397</v>
      </c>
      <c r="O24" s="6"/>
      <c r="P24" s="6"/>
      <c r="Q24" s="6">
        <v>78666</v>
      </c>
      <c r="R24" s="6"/>
      <c r="S24" s="6"/>
      <c r="T24" s="6"/>
      <c r="U24" s="6"/>
      <c r="V24" s="6"/>
      <c r="W24" s="10"/>
      <c r="X24" s="6"/>
      <c r="Y24" s="6"/>
      <c r="Z24" s="6"/>
      <c r="AA24" s="6"/>
      <c r="AB24" s="6"/>
      <c r="AC24" s="6"/>
    </row>
    <row r="25" s="1" customFormat="1" ht="17.25" customHeight="1" spans="1:29">
      <c r="A25" s="5" t="s">
        <v>398</v>
      </c>
      <c r="B25" s="5" t="s">
        <v>389</v>
      </c>
      <c r="C25" s="5" t="s">
        <v>259</v>
      </c>
      <c r="D25" s="5" t="s">
        <v>27</v>
      </c>
      <c r="E25" s="5"/>
      <c r="F25" s="5" t="s">
        <v>389</v>
      </c>
      <c r="G25" s="5" t="s">
        <v>261</v>
      </c>
      <c r="H25" s="5">
        <v>973</v>
      </c>
      <c r="I25" s="5" t="s">
        <v>398</v>
      </c>
      <c r="J25" s="5" t="s">
        <v>263</v>
      </c>
      <c r="K25" s="5" t="s">
        <v>264</v>
      </c>
      <c r="L25" s="5" t="s">
        <v>399</v>
      </c>
      <c r="M25" s="5"/>
      <c r="N25" s="5" t="s">
        <v>400</v>
      </c>
      <c r="O25" s="5"/>
      <c r="P25" s="5"/>
      <c r="Q25" s="5">
        <v>31407</v>
      </c>
      <c r="R25" s="5"/>
      <c r="S25" s="5"/>
      <c r="T25" s="5"/>
      <c r="U25" s="5"/>
      <c r="V25" s="5"/>
      <c r="W25" s="9"/>
      <c r="X25" s="5"/>
      <c r="Y25" s="5"/>
      <c r="Z25" s="5"/>
      <c r="AA25" s="5"/>
      <c r="AB25" s="5"/>
      <c r="AC25" s="5"/>
    </row>
    <row r="26" s="1" customFormat="1" ht="17.25" customHeight="1" spans="1:29">
      <c r="A26" s="6" t="s">
        <v>401</v>
      </c>
      <c r="B26" s="6" t="s">
        <v>389</v>
      </c>
      <c r="C26" s="6" t="s">
        <v>259</v>
      </c>
      <c r="D26" s="6" t="s">
        <v>27</v>
      </c>
      <c r="E26" s="6"/>
      <c r="F26" s="6" t="s">
        <v>389</v>
      </c>
      <c r="G26" s="6" t="s">
        <v>261</v>
      </c>
      <c r="H26" s="6">
        <v>969</v>
      </c>
      <c r="I26" s="6" t="s">
        <v>401</v>
      </c>
      <c r="J26" s="6" t="s">
        <v>402</v>
      </c>
      <c r="K26" s="6" t="s">
        <v>403</v>
      </c>
      <c r="L26" s="6" t="s">
        <v>404</v>
      </c>
      <c r="M26" s="6"/>
      <c r="N26" s="6" t="s">
        <v>405</v>
      </c>
      <c r="O26" s="6"/>
      <c r="P26" s="6"/>
      <c r="Q26" s="6">
        <v>29330</v>
      </c>
      <c r="R26" s="6"/>
      <c r="S26" s="6"/>
      <c r="T26" s="6"/>
      <c r="U26" s="6"/>
      <c r="V26" s="6"/>
      <c r="W26" s="10"/>
      <c r="X26" s="6"/>
      <c r="Y26" s="6"/>
      <c r="Z26" s="6"/>
      <c r="AA26" s="6"/>
      <c r="AB26" s="6"/>
      <c r="AC26" s="6"/>
    </row>
    <row r="27" s="1" customFormat="1" ht="17.25" customHeight="1" spans="1:29">
      <c r="A27" s="5" t="s">
        <v>406</v>
      </c>
      <c r="B27" s="5" t="s">
        <v>389</v>
      </c>
      <c r="C27" s="5" t="s">
        <v>259</v>
      </c>
      <c r="D27" s="5" t="s">
        <v>27</v>
      </c>
      <c r="E27" s="5"/>
      <c r="F27" s="5" t="s">
        <v>389</v>
      </c>
      <c r="G27" s="5" t="s">
        <v>261</v>
      </c>
      <c r="H27" s="5">
        <v>681</v>
      </c>
      <c r="I27" s="5" t="s">
        <v>406</v>
      </c>
      <c r="J27" s="5" t="s">
        <v>407</v>
      </c>
      <c r="K27" s="5" t="s">
        <v>408</v>
      </c>
      <c r="L27" s="5" t="s">
        <v>409</v>
      </c>
      <c r="M27" s="5"/>
      <c r="N27" s="5" t="s">
        <v>410</v>
      </c>
      <c r="O27" s="5"/>
      <c r="P27" s="5"/>
      <c r="Q27" s="5">
        <v>80018</v>
      </c>
      <c r="R27" s="5"/>
      <c r="S27" s="5"/>
      <c r="T27" s="5"/>
      <c r="U27" s="5"/>
      <c r="V27" s="5"/>
      <c r="W27" s="9"/>
      <c r="X27" s="5"/>
      <c r="Y27" s="5"/>
      <c r="Z27" s="5"/>
      <c r="AA27" s="5"/>
      <c r="AB27" s="5"/>
      <c r="AC27" s="5"/>
    </row>
    <row r="28" s="1" customFormat="1" ht="17.25" customHeight="1" spans="1:29">
      <c r="A28" s="6" t="s">
        <v>411</v>
      </c>
      <c r="B28" s="6" t="s">
        <v>389</v>
      </c>
      <c r="C28" s="6" t="s">
        <v>259</v>
      </c>
      <c r="D28" s="6" t="s">
        <v>27</v>
      </c>
      <c r="E28" s="6"/>
      <c r="F28" s="6" t="s">
        <v>389</v>
      </c>
      <c r="G28" s="6" t="s">
        <v>261</v>
      </c>
      <c r="H28" s="6">
        <v>965</v>
      </c>
      <c r="I28" s="6" t="s">
        <v>411</v>
      </c>
      <c r="J28" s="6" t="s">
        <v>338</v>
      </c>
      <c r="K28" s="6" t="s">
        <v>339</v>
      </c>
      <c r="L28" s="6" t="s">
        <v>412</v>
      </c>
      <c r="M28" s="6"/>
      <c r="N28" s="6" t="s">
        <v>413</v>
      </c>
      <c r="O28" s="6"/>
      <c r="P28" s="6"/>
      <c r="Q28" s="6">
        <v>91761</v>
      </c>
      <c r="R28" s="6"/>
      <c r="S28" s="6"/>
      <c r="T28" s="6"/>
      <c r="U28" s="6"/>
      <c r="V28" s="6"/>
      <c r="W28" s="10"/>
      <c r="X28" s="6"/>
      <c r="Y28" s="6"/>
      <c r="Z28" s="6"/>
      <c r="AA28" s="6"/>
      <c r="AB28" s="6"/>
      <c r="AC28" s="6"/>
    </row>
    <row r="29" s="1" customFormat="1" ht="17.25" customHeight="1" spans="1:29">
      <c r="A29" s="6" t="s">
        <v>414</v>
      </c>
      <c r="B29" s="6" t="s">
        <v>389</v>
      </c>
      <c r="C29" s="6" t="s">
        <v>259</v>
      </c>
      <c r="D29" s="6" t="s">
        <v>27</v>
      </c>
      <c r="E29" s="6"/>
      <c r="F29" s="6" t="s">
        <v>389</v>
      </c>
      <c r="G29" s="6" t="s">
        <v>261</v>
      </c>
      <c r="H29" s="6">
        <v>964</v>
      </c>
      <c r="I29" s="6" t="s">
        <v>414</v>
      </c>
      <c r="J29" s="6" t="s">
        <v>338</v>
      </c>
      <c r="K29" s="6" t="s">
        <v>339</v>
      </c>
      <c r="L29" s="6" t="s">
        <v>415</v>
      </c>
      <c r="M29" s="6"/>
      <c r="N29" s="6" t="s">
        <v>416</v>
      </c>
      <c r="O29" s="6"/>
      <c r="P29" s="6"/>
      <c r="Q29" s="6">
        <v>95215</v>
      </c>
      <c r="R29" s="6"/>
      <c r="S29" s="6"/>
      <c r="T29" s="6"/>
      <c r="U29" s="6"/>
      <c r="V29" s="6"/>
      <c r="W29" s="10"/>
      <c r="X29" s="6"/>
      <c r="Y29" s="6"/>
      <c r="Z29" s="6"/>
      <c r="AA29" s="6"/>
      <c r="AB29" s="6"/>
      <c r="AC29" s="6"/>
    </row>
    <row r="30" s="1" customFormat="1" ht="17.25" customHeight="1" spans="1:29">
      <c r="A30" s="5" t="s">
        <v>417</v>
      </c>
      <c r="B30" s="5" t="s">
        <v>389</v>
      </c>
      <c r="C30" s="5" t="s">
        <v>259</v>
      </c>
      <c r="D30" s="5" t="s">
        <v>27</v>
      </c>
      <c r="E30" s="5"/>
      <c r="F30" s="5" t="s">
        <v>389</v>
      </c>
      <c r="G30" s="5" t="s">
        <v>261</v>
      </c>
      <c r="H30" s="5">
        <v>966</v>
      </c>
      <c r="I30" s="5" t="s">
        <v>417</v>
      </c>
      <c r="J30" s="6" t="s">
        <v>338</v>
      </c>
      <c r="K30" s="6" t="s">
        <v>339</v>
      </c>
      <c r="L30" s="6" t="s">
        <v>418</v>
      </c>
      <c r="M30" s="6"/>
      <c r="N30" s="6" t="s">
        <v>419</v>
      </c>
      <c r="O30" s="6"/>
      <c r="P30" s="6"/>
      <c r="Q30" s="11">
        <v>95206</v>
      </c>
      <c r="R30" s="5"/>
      <c r="S30" s="5"/>
      <c r="T30" s="5"/>
      <c r="U30" s="5"/>
      <c r="V30" s="5"/>
      <c r="W30" s="9"/>
      <c r="X30" s="5"/>
      <c r="Y30" s="5"/>
      <c r="Z30" s="5"/>
      <c r="AA30" s="5"/>
      <c r="AB30" s="5"/>
      <c r="AC30" s="5"/>
    </row>
    <row r="31" s="1" customFormat="1" ht="17.25" customHeight="1" spans="1:29">
      <c r="A31" s="6" t="s">
        <v>420</v>
      </c>
      <c r="B31" s="6" t="s">
        <v>389</v>
      </c>
      <c r="C31" s="6" t="s">
        <v>259</v>
      </c>
      <c r="D31" s="6" t="s">
        <v>27</v>
      </c>
      <c r="E31" s="6"/>
      <c r="F31" s="6" t="s">
        <v>389</v>
      </c>
      <c r="G31" s="6" t="s">
        <v>261</v>
      </c>
      <c r="H31" s="6" t="s">
        <v>421</v>
      </c>
      <c r="I31" s="6" t="s">
        <v>420</v>
      </c>
      <c r="J31" s="6" t="s">
        <v>422</v>
      </c>
      <c r="K31" s="6" t="s">
        <v>423</v>
      </c>
      <c r="L31" s="6" t="s">
        <v>424</v>
      </c>
      <c r="M31" s="6"/>
      <c r="N31" s="6" t="s">
        <v>425</v>
      </c>
      <c r="O31" s="6"/>
      <c r="P31" s="6"/>
      <c r="Q31" s="6">
        <v>85396</v>
      </c>
      <c r="R31" s="6"/>
      <c r="S31" s="6"/>
      <c r="T31" s="6"/>
      <c r="U31" s="6"/>
      <c r="V31" s="6" t="s">
        <v>270</v>
      </c>
      <c r="W31" s="10">
        <v>45539.4252546296</v>
      </c>
      <c r="X31" s="6"/>
      <c r="Y31" s="6"/>
      <c r="Z31" s="6"/>
      <c r="AA31" s="6"/>
      <c r="AB31" s="6">
        <v>45539.4252546296</v>
      </c>
      <c r="AC31" s="6" t="s">
        <v>270</v>
      </c>
    </row>
    <row r="32" s="1" customFormat="1" ht="17.25" customHeight="1" spans="1:29">
      <c r="A32" s="5" t="s">
        <v>426</v>
      </c>
      <c r="B32" s="5" t="s">
        <v>389</v>
      </c>
      <c r="C32" s="5" t="s">
        <v>259</v>
      </c>
      <c r="D32" s="5" t="s">
        <v>27</v>
      </c>
      <c r="E32" s="5"/>
      <c r="F32" s="5" t="s">
        <v>389</v>
      </c>
      <c r="G32" s="5" t="s">
        <v>261</v>
      </c>
      <c r="H32" s="5" t="s">
        <v>427</v>
      </c>
      <c r="I32" s="5" t="s">
        <v>426</v>
      </c>
      <c r="J32" s="5" t="s">
        <v>338</v>
      </c>
      <c r="K32" s="5" t="s">
        <v>339</v>
      </c>
      <c r="L32" s="5" t="s">
        <v>428</v>
      </c>
      <c r="M32" s="5"/>
      <c r="N32" s="5" t="s">
        <v>429</v>
      </c>
      <c r="O32" s="5"/>
      <c r="P32" s="5"/>
      <c r="Q32" s="5" t="s">
        <v>430</v>
      </c>
      <c r="R32" s="5"/>
      <c r="S32" s="5"/>
      <c r="T32" s="5"/>
      <c r="U32" s="5" t="s">
        <v>268</v>
      </c>
      <c r="V32" s="5" t="s">
        <v>270</v>
      </c>
      <c r="W32" s="9">
        <v>45463.4334606481</v>
      </c>
      <c r="X32" s="5"/>
      <c r="Y32" s="5"/>
      <c r="Z32" s="5"/>
      <c r="AA32" s="5"/>
      <c r="AB32" s="5">
        <v>45463.4300925926</v>
      </c>
      <c r="AC32" s="5" t="s">
        <v>270</v>
      </c>
    </row>
    <row r="33" s="1" customFormat="1" ht="17.25" customHeight="1" spans="1:29">
      <c r="A33" s="6" t="s">
        <v>431</v>
      </c>
      <c r="B33" s="6" t="s">
        <v>389</v>
      </c>
      <c r="C33" s="6" t="s">
        <v>259</v>
      </c>
      <c r="D33" s="6" t="s">
        <v>27</v>
      </c>
      <c r="E33" s="6"/>
      <c r="F33" s="6" t="s">
        <v>389</v>
      </c>
      <c r="G33" s="6" t="s">
        <v>261</v>
      </c>
      <c r="H33" s="6" t="s">
        <v>432</v>
      </c>
      <c r="I33" s="6" t="s">
        <v>431</v>
      </c>
      <c r="J33" s="6" t="s">
        <v>433</v>
      </c>
      <c r="K33" s="6" t="s">
        <v>434</v>
      </c>
      <c r="L33" s="6" t="s">
        <v>435</v>
      </c>
      <c r="M33" s="6"/>
      <c r="N33" s="6" t="s">
        <v>436</v>
      </c>
      <c r="O33" s="6"/>
      <c r="P33" s="6"/>
      <c r="Q33" s="6" t="s">
        <v>437</v>
      </c>
      <c r="R33" s="6"/>
      <c r="S33" s="6"/>
      <c r="T33" s="6"/>
      <c r="U33" s="6" t="s">
        <v>268</v>
      </c>
      <c r="V33" s="6" t="s">
        <v>269</v>
      </c>
      <c r="W33" s="10">
        <v>45428.7600347222</v>
      </c>
      <c r="X33" s="6"/>
      <c r="Y33" s="6"/>
      <c r="Z33" s="6"/>
      <c r="AA33" s="6"/>
      <c r="AB33" s="6">
        <v>45428.7600347222</v>
      </c>
      <c r="AC33" s="6" t="s">
        <v>269</v>
      </c>
    </row>
    <row r="34" s="1" customFormat="1" ht="17.25" customHeight="1" spans="1:29">
      <c r="A34" s="5" t="s">
        <v>438</v>
      </c>
      <c r="B34" s="5" t="s">
        <v>389</v>
      </c>
      <c r="C34" s="5" t="s">
        <v>259</v>
      </c>
      <c r="D34" s="5" t="s">
        <v>27</v>
      </c>
      <c r="E34" s="5"/>
      <c r="F34" s="5" t="s">
        <v>389</v>
      </c>
      <c r="G34" s="5" t="s">
        <v>261</v>
      </c>
      <c r="H34" s="5" t="s">
        <v>439</v>
      </c>
      <c r="I34" s="5" t="s">
        <v>438</v>
      </c>
      <c r="J34" s="5" t="s">
        <v>440</v>
      </c>
      <c r="K34" s="5" t="s">
        <v>441</v>
      </c>
      <c r="L34" s="5" t="s">
        <v>442</v>
      </c>
      <c r="M34" s="5"/>
      <c r="N34" s="5" t="s">
        <v>443</v>
      </c>
      <c r="O34" s="5"/>
      <c r="P34" s="5"/>
      <c r="Q34" s="5" t="s">
        <v>444</v>
      </c>
      <c r="R34" s="5"/>
      <c r="S34" s="5"/>
      <c r="T34" s="5"/>
      <c r="U34" s="5" t="s">
        <v>268</v>
      </c>
      <c r="V34" s="5" t="s">
        <v>269</v>
      </c>
      <c r="W34" s="9">
        <v>45428.7600347222</v>
      </c>
      <c r="X34" s="5"/>
      <c r="Y34" s="5"/>
      <c r="Z34" s="5"/>
      <c r="AA34" s="5"/>
      <c r="AB34" s="5">
        <v>45428.7600347222</v>
      </c>
      <c r="AC34" s="5" t="s">
        <v>269</v>
      </c>
    </row>
    <row r="35" s="1" customFormat="1" ht="17.25" customHeight="1" spans="1:29">
      <c r="A35" s="6" t="s">
        <v>445</v>
      </c>
      <c r="B35" s="6" t="s">
        <v>389</v>
      </c>
      <c r="C35" s="6" t="s">
        <v>259</v>
      </c>
      <c r="D35" s="6" t="s">
        <v>27</v>
      </c>
      <c r="E35" s="6"/>
      <c r="F35" s="6" t="s">
        <v>389</v>
      </c>
      <c r="G35" s="6" t="s">
        <v>261</v>
      </c>
      <c r="H35" s="6" t="s">
        <v>446</v>
      </c>
      <c r="I35" s="6" t="s">
        <v>445</v>
      </c>
      <c r="J35" s="6" t="s">
        <v>290</v>
      </c>
      <c r="K35" s="6" t="s">
        <v>291</v>
      </c>
      <c r="L35" s="6" t="s">
        <v>447</v>
      </c>
      <c r="M35" s="6"/>
      <c r="N35" s="6" t="s">
        <v>448</v>
      </c>
      <c r="O35" s="6"/>
      <c r="P35" s="6"/>
      <c r="Q35" s="6" t="s">
        <v>449</v>
      </c>
      <c r="R35" s="6"/>
      <c r="S35" s="6"/>
      <c r="T35" s="6"/>
      <c r="U35" s="6" t="s">
        <v>268</v>
      </c>
      <c r="V35" s="6" t="s">
        <v>269</v>
      </c>
      <c r="W35" s="10">
        <v>45428.7600347222</v>
      </c>
      <c r="X35" s="6"/>
      <c r="Y35" s="6"/>
      <c r="Z35" s="6"/>
      <c r="AA35" s="6"/>
      <c r="AB35" s="6">
        <v>45428.7600347222</v>
      </c>
      <c r="AC35" s="6" t="s">
        <v>269</v>
      </c>
    </row>
    <row r="36" s="1" customFormat="1" ht="17.25" customHeight="1" spans="1:29">
      <c r="A36" s="5" t="s">
        <v>450</v>
      </c>
      <c r="B36" s="5" t="s">
        <v>389</v>
      </c>
      <c r="C36" s="5" t="s">
        <v>259</v>
      </c>
      <c r="D36" s="5" t="s">
        <v>27</v>
      </c>
      <c r="E36" s="5"/>
      <c r="F36" s="5" t="s">
        <v>389</v>
      </c>
      <c r="G36" s="5" t="s">
        <v>261</v>
      </c>
      <c r="H36" s="5" t="s">
        <v>451</v>
      </c>
      <c r="I36" s="5" t="s">
        <v>450</v>
      </c>
      <c r="J36" s="5" t="s">
        <v>283</v>
      </c>
      <c r="K36" s="5" t="s">
        <v>284</v>
      </c>
      <c r="L36" s="5" t="s">
        <v>452</v>
      </c>
      <c r="M36" s="5"/>
      <c r="N36" s="5" t="s">
        <v>453</v>
      </c>
      <c r="O36" s="5"/>
      <c r="P36" s="5"/>
      <c r="Q36" s="5" t="s">
        <v>287</v>
      </c>
      <c r="R36" s="5"/>
      <c r="S36" s="5"/>
      <c r="T36" s="5"/>
      <c r="U36" s="5" t="s">
        <v>268</v>
      </c>
      <c r="V36" s="5" t="s">
        <v>269</v>
      </c>
      <c r="W36" s="9">
        <v>45428.7600347222</v>
      </c>
      <c r="X36" s="5"/>
      <c r="Y36" s="5"/>
      <c r="Z36" s="5"/>
      <c r="AA36" s="5"/>
      <c r="AB36" s="5">
        <v>45428.7600347222</v>
      </c>
      <c r="AC36" s="5" t="s">
        <v>269</v>
      </c>
    </row>
    <row r="37" s="1" customFormat="1" ht="17.25" customHeight="1" spans="1:29">
      <c r="A37" s="6" t="s">
        <v>454</v>
      </c>
      <c r="B37" s="6" t="s">
        <v>389</v>
      </c>
      <c r="C37" s="6" t="s">
        <v>259</v>
      </c>
      <c r="D37" s="6" t="s">
        <v>27</v>
      </c>
      <c r="E37" s="6"/>
      <c r="F37" s="6" t="s">
        <v>389</v>
      </c>
      <c r="G37" s="6" t="s">
        <v>261</v>
      </c>
      <c r="H37" s="6" t="s">
        <v>455</v>
      </c>
      <c r="I37" s="6" t="s">
        <v>454</v>
      </c>
      <c r="J37" s="6" t="s">
        <v>350</v>
      </c>
      <c r="K37" s="6" t="s">
        <v>351</v>
      </c>
      <c r="L37" s="6" t="s">
        <v>456</v>
      </c>
      <c r="M37" s="6"/>
      <c r="N37" s="6" t="s">
        <v>457</v>
      </c>
      <c r="O37" s="6"/>
      <c r="P37" s="6"/>
      <c r="Q37" s="6" t="s">
        <v>458</v>
      </c>
      <c r="R37" s="6"/>
      <c r="S37" s="6"/>
      <c r="T37" s="6"/>
      <c r="U37" s="6" t="s">
        <v>268</v>
      </c>
      <c r="V37" s="6" t="s">
        <v>269</v>
      </c>
      <c r="W37" s="10">
        <v>45428.7600347222</v>
      </c>
      <c r="X37" s="6"/>
      <c r="Y37" s="6"/>
      <c r="Z37" s="6"/>
      <c r="AA37" s="6"/>
      <c r="AB37" s="6">
        <v>45428.7600347222</v>
      </c>
      <c r="AC37" s="6" t="s">
        <v>269</v>
      </c>
    </row>
    <row r="38" s="1" customFormat="1" ht="17.25" customHeight="1" spans="1:29">
      <c r="A38" s="5" t="s">
        <v>459</v>
      </c>
      <c r="B38" s="5" t="s">
        <v>389</v>
      </c>
      <c r="C38" s="5" t="s">
        <v>259</v>
      </c>
      <c r="D38" s="5" t="s">
        <v>27</v>
      </c>
      <c r="E38" s="5"/>
      <c r="F38" s="5" t="s">
        <v>389</v>
      </c>
      <c r="G38" s="5" t="s">
        <v>261</v>
      </c>
      <c r="H38" s="5" t="s">
        <v>460</v>
      </c>
      <c r="I38" s="5" t="s">
        <v>459</v>
      </c>
      <c r="J38" s="5" t="s">
        <v>378</v>
      </c>
      <c r="K38" s="5" t="s">
        <v>379</v>
      </c>
      <c r="L38" s="5" t="s">
        <v>461</v>
      </c>
      <c r="M38" s="5"/>
      <c r="N38" s="5" t="s">
        <v>462</v>
      </c>
      <c r="O38" s="5"/>
      <c r="P38" s="5"/>
      <c r="Q38" s="5" t="s">
        <v>463</v>
      </c>
      <c r="R38" s="5"/>
      <c r="S38" s="5"/>
      <c r="T38" s="5"/>
      <c r="U38" s="5" t="s">
        <v>268</v>
      </c>
      <c r="V38" s="5" t="s">
        <v>269</v>
      </c>
      <c r="W38" s="9">
        <v>45428.7600347222</v>
      </c>
      <c r="X38" s="5"/>
      <c r="Y38" s="5"/>
      <c r="Z38" s="5"/>
      <c r="AA38" s="5"/>
      <c r="AB38" s="5">
        <v>45428.7600347222</v>
      </c>
      <c r="AC38" s="5" t="s">
        <v>269</v>
      </c>
    </row>
    <row r="39" s="1" customFormat="1" ht="17.25" customHeight="1" spans="1:29">
      <c r="A39" s="6" t="s">
        <v>464</v>
      </c>
      <c r="B39" s="6" t="s">
        <v>389</v>
      </c>
      <c r="C39" s="6" t="s">
        <v>259</v>
      </c>
      <c r="D39" s="6" t="s">
        <v>27</v>
      </c>
      <c r="E39" s="6"/>
      <c r="F39" s="6" t="s">
        <v>389</v>
      </c>
      <c r="G39" s="6" t="s">
        <v>261</v>
      </c>
      <c r="H39" s="6" t="s">
        <v>465</v>
      </c>
      <c r="I39" s="6" t="s">
        <v>464</v>
      </c>
      <c r="J39" s="6" t="s">
        <v>402</v>
      </c>
      <c r="K39" s="6" t="s">
        <v>403</v>
      </c>
      <c r="L39" s="6" t="s">
        <v>466</v>
      </c>
      <c r="M39" s="6"/>
      <c r="N39" s="6" t="s">
        <v>467</v>
      </c>
      <c r="O39" s="6"/>
      <c r="P39" s="6"/>
      <c r="Q39" s="6" t="s">
        <v>468</v>
      </c>
      <c r="R39" s="6"/>
      <c r="S39" s="6"/>
      <c r="T39" s="6"/>
      <c r="U39" s="6" t="s">
        <v>268</v>
      </c>
      <c r="V39" s="6" t="s">
        <v>269</v>
      </c>
      <c r="W39" s="10">
        <v>45428.7600347222</v>
      </c>
      <c r="X39" s="6"/>
      <c r="Y39" s="6"/>
      <c r="Z39" s="6"/>
      <c r="AA39" s="6"/>
      <c r="AB39" s="6">
        <v>45428.7600347222</v>
      </c>
      <c r="AC39" s="6" t="s">
        <v>269</v>
      </c>
    </row>
    <row r="40" s="1" customFormat="1" ht="17.25" customHeight="1" spans="1:29">
      <c r="A40" s="5" t="s">
        <v>469</v>
      </c>
      <c r="B40" s="5" t="s">
        <v>389</v>
      </c>
      <c r="C40" s="5" t="s">
        <v>259</v>
      </c>
      <c r="D40" s="5" t="s">
        <v>27</v>
      </c>
      <c r="E40" s="5"/>
      <c r="F40" s="5" t="s">
        <v>389</v>
      </c>
      <c r="G40" s="5" t="s">
        <v>261</v>
      </c>
      <c r="H40" s="5" t="s">
        <v>470</v>
      </c>
      <c r="I40" s="5" t="s">
        <v>469</v>
      </c>
      <c r="J40" s="5" t="s">
        <v>422</v>
      </c>
      <c r="K40" s="5" t="s">
        <v>423</v>
      </c>
      <c r="L40" s="5" t="s">
        <v>471</v>
      </c>
      <c r="M40" s="5"/>
      <c r="N40" s="5" t="s">
        <v>472</v>
      </c>
      <c r="O40" s="5"/>
      <c r="P40" s="5"/>
      <c r="Q40" s="5" t="s">
        <v>473</v>
      </c>
      <c r="R40" s="5"/>
      <c r="S40" s="5"/>
      <c r="T40" s="5"/>
      <c r="U40" s="5" t="s">
        <v>268</v>
      </c>
      <c r="V40" s="5" t="s">
        <v>269</v>
      </c>
      <c r="W40" s="9">
        <v>45428.7600347222</v>
      </c>
      <c r="X40" s="5"/>
      <c r="Y40" s="5"/>
      <c r="Z40" s="5"/>
      <c r="AA40" s="5"/>
      <c r="AB40" s="5">
        <v>45428.7600347222</v>
      </c>
      <c r="AC40" s="5" t="s">
        <v>269</v>
      </c>
    </row>
    <row r="41" s="1" customFormat="1" ht="17.25" customHeight="1" spans="1:29">
      <c r="A41" s="6" t="s">
        <v>474</v>
      </c>
      <c r="B41" s="6" t="s">
        <v>389</v>
      </c>
      <c r="C41" s="6" t="s">
        <v>259</v>
      </c>
      <c r="D41" s="6" t="s">
        <v>27</v>
      </c>
      <c r="E41" s="6"/>
      <c r="F41" s="6" t="s">
        <v>389</v>
      </c>
      <c r="G41" s="6" t="s">
        <v>261</v>
      </c>
      <c r="H41" s="6" t="s">
        <v>475</v>
      </c>
      <c r="I41" s="6" t="s">
        <v>474</v>
      </c>
      <c r="J41" s="6" t="s">
        <v>422</v>
      </c>
      <c r="K41" s="6" t="s">
        <v>423</v>
      </c>
      <c r="L41" s="6" t="s">
        <v>471</v>
      </c>
      <c r="M41" s="6"/>
      <c r="N41" s="6" t="s">
        <v>476</v>
      </c>
      <c r="O41" s="6"/>
      <c r="P41" s="6"/>
      <c r="Q41" s="6" t="s">
        <v>477</v>
      </c>
      <c r="R41" s="6"/>
      <c r="S41" s="6"/>
      <c r="T41" s="6"/>
      <c r="U41" s="6" t="s">
        <v>268</v>
      </c>
      <c r="V41" s="6" t="s">
        <v>269</v>
      </c>
      <c r="W41" s="10">
        <v>45428.7600347222</v>
      </c>
      <c r="X41" s="6"/>
      <c r="Y41" s="6"/>
      <c r="Z41" s="6"/>
      <c r="AA41" s="6"/>
      <c r="AB41" s="6">
        <v>45428.7600347222</v>
      </c>
      <c r="AC41" s="6" t="s">
        <v>269</v>
      </c>
    </row>
    <row r="42" s="1" customFormat="1" ht="17.25" customHeight="1" spans="1:29">
      <c r="A42" s="5" t="s">
        <v>478</v>
      </c>
      <c r="B42" s="5" t="s">
        <v>389</v>
      </c>
      <c r="C42" s="5" t="s">
        <v>259</v>
      </c>
      <c r="D42" s="5" t="s">
        <v>27</v>
      </c>
      <c r="E42" s="5"/>
      <c r="F42" s="5" t="s">
        <v>389</v>
      </c>
      <c r="G42" s="5" t="s">
        <v>261</v>
      </c>
      <c r="H42" s="5" t="s">
        <v>479</v>
      </c>
      <c r="I42" s="5" t="s">
        <v>478</v>
      </c>
      <c r="J42" s="5" t="s">
        <v>422</v>
      </c>
      <c r="K42" s="5" t="s">
        <v>423</v>
      </c>
      <c r="L42" s="5" t="s">
        <v>480</v>
      </c>
      <c r="M42" s="5"/>
      <c r="N42" s="5" t="s">
        <v>481</v>
      </c>
      <c r="O42" s="5"/>
      <c r="P42" s="5"/>
      <c r="Q42" s="5" t="s">
        <v>482</v>
      </c>
      <c r="R42" s="5"/>
      <c r="S42" s="5"/>
      <c r="T42" s="5"/>
      <c r="U42" s="5" t="s">
        <v>268</v>
      </c>
      <c r="V42" s="5" t="s">
        <v>269</v>
      </c>
      <c r="W42" s="9">
        <v>45428.7600347222</v>
      </c>
      <c r="X42" s="5"/>
      <c r="Y42" s="5"/>
      <c r="Z42" s="5"/>
      <c r="AA42" s="5"/>
      <c r="AB42" s="5">
        <v>45428.7600347222</v>
      </c>
      <c r="AC42" s="5" t="s">
        <v>269</v>
      </c>
    </row>
    <row r="43" s="1" customFormat="1" ht="17.25" customHeight="1" spans="1:29">
      <c r="A43" s="6" t="s">
        <v>483</v>
      </c>
      <c r="B43" s="6" t="s">
        <v>389</v>
      </c>
      <c r="C43" s="6" t="s">
        <v>259</v>
      </c>
      <c r="D43" s="6" t="s">
        <v>27</v>
      </c>
      <c r="E43" s="6"/>
      <c r="F43" s="6" t="s">
        <v>389</v>
      </c>
      <c r="G43" s="6" t="s">
        <v>261</v>
      </c>
      <c r="H43" s="6" t="s">
        <v>484</v>
      </c>
      <c r="I43" s="6" t="s">
        <v>483</v>
      </c>
      <c r="J43" s="6" t="s">
        <v>297</v>
      </c>
      <c r="K43" s="6" t="s">
        <v>298</v>
      </c>
      <c r="L43" s="6" t="s">
        <v>485</v>
      </c>
      <c r="M43" s="6"/>
      <c r="N43" s="6" t="s">
        <v>486</v>
      </c>
      <c r="O43" s="6"/>
      <c r="P43" s="6"/>
      <c r="Q43" s="6" t="s">
        <v>487</v>
      </c>
      <c r="R43" s="6"/>
      <c r="S43" s="6"/>
      <c r="T43" s="6"/>
      <c r="U43" s="6" t="s">
        <v>268</v>
      </c>
      <c r="V43" s="6" t="s">
        <v>269</v>
      </c>
      <c r="W43" s="10">
        <v>45428.7600347222</v>
      </c>
      <c r="X43" s="6"/>
      <c r="Y43" s="6"/>
      <c r="Z43" s="6"/>
      <c r="AA43" s="6"/>
      <c r="AB43" s="6">
        <v>45428.7600347222</v>
      </c>
      <c r="AC43" s="6" t="s">
        <v>269</v>
      </c>
    </row>
    <row r="44" s="1" customFormat="1" ht="17.25" customHeight="1" spans="1:29">
      <c r="A44" s="5" t="s">
        <v>488</v>
      </c>
      <c r="B44" s="5" t="s">
        <v>389</v>
      </c>
      <c r="C44" s="5" t="s">
        <v>259</v>
      </c>
      <c r="D44" s="5" t="s">
        <v>27</v>
      </c>
      <c r="E44" s="5"/>
      <c r="F44" s="5" t="s">
        <v>389</v>
      </c>
      <c r="G44" s="5" t="s">
        <v>261</v>
      </c>
      <c r="H44" s="5" t="s">
        <v>489</v>
      </c>
      <c r="I44" s="5" t="s">
        <v>488</v>
      </c>
      <c r="J44" s="5" t="s">
        <v>297</v>
      </c>
      <c r="K44" s="5" t="s">
        <v>298</v>
      </c>
      <c r="L44" s="5" t="s">
        <v>490</v>
      </c>
      <c r="M44" s="5"/>
      <c r="N44" s="5" t="s">
        <v>491</v>
      </c>
      <c r="O44" s="5"/>
      <c r="P44" s="5"/>
      <c r="Q44" s="5" t="s">
        <v>492</v>
      </c>
      <c r="R44" s="5"/>
      <c r="S44" s="5"/>
      <c r="T44" s="5"/>
      <c r="U44" s="5" t="s">
        <v>268</v>
      </c>
      <c r="V44" s="5" t="s">
        <v>269</v>
      </c>
      <c r="W44" s="9">
        <v>45428.7600347222</v>
      </c>
      <c r="X44" s="5"/>
      <c r="Y44" s="5"/>
      <c r="Z44" s="5"/>
      <c r="AA44" s="5"/>
      <c r="AB44" s="5">
        <v>45428.7600347222</v>
      </c>
      <c r="AC44" s="5" t="s">
        <v>269</v>
      </c>
    </row>
    <row r="45" s="1" customFormat="1" ht="17.25" customHeight="1" spans="1:29">
      <c r="A45" s="6" t="s">
        <v>493</v>
      </c>
      <c r="B45" s="6" t="s">
        <v>389</v>
      </c>
      <c r="C45" s="6" t="s">
        <v>259</v>
      </c>
      <c r="D45" s="6" t="s">
        <v>27</v>
      </c>
      <c r="E45" s="6"/>
      <c r="F45" s="6" t="s">
        <v>389</v>
      </c>
      <c r="G45" s="6" t="s">
        <v>261</v>
      </c>
      <c r="H45" s="6" t="s">
        <v>494</v>
      </c>
      <c r="I45" s="6" t="s">
        <v>493</v>
      </c>
      <c r="J45" s="6" t="s">
        <v>297</v>
      </c>
      <c r="K45" s="6" t="s">
        <v>298</v>
      </c>
      <c r="L45" s="6" t="s">
        <v>495</v>
      </c>
      <c r="M45" s="6"/>
      <c r="N45" s="6" t="s">
        <v>496</v>
      </c>
      <c r="O45" s="6"/>
      <c r="P45" s="6"/>
      <c r="Q45" s="6" t="s">
        <v>497</v>
      </c>
      <c r="R45" s="6"/>
      <c r="S45" s="6"/>
      <c r="T45" s="6"/>
      <c r="U45" s="6" t="s">
        <v>268</v>
      </c>
      <c r="V45" s="6" t="s">
        <v>269</v>
      </c>
      <c r="W45" s="10">
        <v>45428.7600347222</v>
      </c>
      <c r="X45" s="6"/>
      <c r="Y45" s="6"/>
      <c r="Z45" s="6"/>
      <c r="AA45" s="6"/>
      <c r="AB45" s="6">
        <v>45428.7600347222</v>
      </c>
      <c r="AC45" s="6" t="s">
        <v>269</v>
      </c>
    </row>
    <row r="46" s="1" customFormat="1" ht="17.25" customHeight="1" spans="1:29">
      <c r="A46" s="5" t="s">
        <v>498</v>
      </c>
      <c r="B46" s="5" t="s">
        <v>389</v>
      </c>
      <c r="C46" s="5" t="s">
        <v>259</v>
      </c>
      <c r="D46" s="5" t="s">
        <v>27</v>
      </c>
      <c r="E46" s="5"/>
      <c r="F46" s="5" t="s">
        <v>389</v>
      </c>
      <c r="G46" s="5" t="s">
        <v>261</v>
      </c>
      <c r="H46" s="5" t="s">
        <v>499</v>
      </c>
      <c r="I46" s="5" t="s">
        <v>498</v>
      </c>
      <c r="J46" s="5" t="s">
        <v>297</v>
      </c>
      <c r="K46" s="5" t="s">
        <v>298</v>
      </c>
      <c r="L46" s="5" t="s">
        <v>500</v>
      </c>
      <c r="M46" s="5"/>
      <c r="N46" s="5" t="s">
        <v>501</v>
      </c>
      <c r="O46" s="5"/>
      <c r="P46" s="5"/>
      <c r="Q46" s="5" t="s">
        <v>502</v>
      </c>
      <c r="R46" s="5"/>
      <c r="S46" s="5"/>
      <c r="T46" s="5"/>
      <c r="U46" s="5" t="s">
        <v>268</v>
      </c>
      <c r="V46" s="5" t="s">
        <v>269</v>
      </c>
      <c r="W46" s="9">
        <v>45428.7600347222</v>
      </c>
      <c r="X46" s="5"/>
      <c r="Y46" s="5"/>
      <c r="Z46" s="5"/>
      <c r="AA46" s="5"/>
      <c r="AB46" s="5">
        <v>45428.7600347222</v>
      </c>
      <c r="AC46" s="5" t="s">
        <v>269</v>
      </c>
    </row>
    <row r="47" s="1" customFormat="1" ht="17.25" customHeight="1" spans="1:29">
      <c r="A47" s="6" t="s">
        <v>503</v>
      </c>
      <c r="B47" s="6" t="s">
        <v>389</v>
      </c>
      <c r="C47" s="6" t="s">
        <v>259</v>
      </c>
      <c r="D47" s="6" t="s">
        <v>27</v>
      </c>
      <c r="E47" s="6"/>
      <c r="F47" s="6" t="s">
        <v>389</v>
      </c>
      <c r="G47" s="6" t="s">
        <v>261</v>
      </c>
      <c r="H47" s="6" t="s">
        <v>504</v>
      </c>
      <c r="I47" s="6" t="s">
        <v>503</v>
      </c>
      <c r="J47" s="6" t="s">
        <v>297</v>
      </c>
      <c r="K47" s="6" t="s">
        <v>298</v>
      </c>
      <c r="L47" s="6" t="s">
        <v>505</v>
      </c>
      <c r="M47" s="6"/>
      <c r="N47" s="6" t="s">
        <v>506</v>
      </c>
      <c r="O47" s="6"/>
      <c r="P47" s="6"/>
      <c r="Q47" s="6" t="s">
        <v>507</v>
      </c>
      <c r="R47" s="6"/>
      <c r="S47" s="6"/>
      <c r="T47" s="6"/>
      <c r="U47" s="6" t="s">
        <v>268</v>
      </c>
      <c r="V47" s="6" t="s">
        <v>269</v>
      </c>
      <c r="W47" s="10">
        <v>45428.7600347222</v>
      </c>
      <c r="X47" s="6"/>
      <c r="Y47" s="6"/>
      <c r="Z47" s="6"/>
      <c r="AA47" s="6"/>
      <c r="AB47" s="6">
        <v>45428.7600347222</v>
      </c>
      <c r="AC47" s="6" t="s">
        <v>269</v>
      </c>
    </row>
    <row r="48" s="1" customFormat="1" ht="17.25" customHeight="1" spans="1:29">
      <c r="A48" s="5" t="s">
        <v>508</v>
      </c>
      <c r="B48" s="5" t="s">
        <v>389</v>
      </c>
      <c r="C48" s="5" t="s">
        <v>259</v>
      </c>
      <c r="D48" s="5" t="s">
        <v>27</v>
      </c>
      <c r="E48" s="5"/>
      <c r="F48" s="5" t="s">
        <v>389</v>
      </c>
      <c r="G48" s="5" t="s">
        <v>261</v>
      </c>
      <c r="H48" s="5" t="s">
        <v>509</v>
      </c>
      <c r="I48" s="5" t="s">
        <v>508</v>
      </c>
      <c r="J48" s="5" t="s">
        <v>510</v>
      </c>
      <c r="K48" s="5" t="s">
        <v>511</v>
      </c>
      <c r="L48" s="5" t="s">
        <v>512</v>
      </c>
      <c r="M48" s="5"/>
      <c r="N48" s="5" t="s">
        <v>513</v>
      </c>
      <c r="O48" s="5"/>
      <c r="P48" s="5"/>
      <c r="Q48" s="5" t="s">
        <v>514</v>
      </c>
      <c r="R48" s="5"/>
      <c r="S48" s="5"/>
      <c r="T48" s="5"/>
      <c r="U48" s="5" t="s">
        <v>268</v>
      </c>
      <c r="V48" s="5" t="s">
        <v>269</v>
      </c>
      <c r="W48" s="9">
        <v>45428.7600347222</v>
      </c>
      <c r="X48" s="5"/>
      <c r="Y48" s="5"/>
      <c r="Z48" s="5"/>
      <c r="AA48" s="5"/>
      <c r="AB48" s="5">
        <v>45428.7600347222</v>
      </c>
      <c r="AC48" s="5" t="s">
        <v>269</v>
      </c>
    </row>
    <row r="49" s="1" customFormat="1" ht="17.25" customHeight="1" spans="1:29">
      <c r="A49" s="6" t="s">
        <v>515</v>
      </c>
      <c r="B49" s="6" t="s">
        <v>389</v>
      </c>
      <c r="C49" s="6" t="s">
        <v>259</v>
      </c>
      <c r="D49" s="6" t="s">
        <v>27</v>
      </c>
      <c r="E49" s="6"/>
      <c r="F49" s="6" t="s">
        <v>389</v>
      </c>
      <c r="G49" s="6" t="s">
        <v>261</v>
      </c>
      <c r="H49" s="6" t="s">
        <v>516</v>
      </c>
      <c r="I49" s="6" t="s">
        <v>515</v>
      </c>
      <c r="J49" s="6" t="s">
        <v>510</v>
      </c>
      <c r="K49" s="6" t="s">
        <v>511</v>
      </c>
      <c r="L49" s="6" t="s">
        <v>512</v>
      </c>
      <c r="M49" s="6"/>
      <c r="N49" s="6" t="s">
        <v>517</v>
      </c>
      <c r="O49" s="6"/>
      <c r="P49" s="6"/>
      <c r="Q49" s="6" t="s">
        <v>514</v>
      </c>
      <c r="R49" s="6"/>
      <c r="S49" s="6"/>
      <c r="T49" s="6"/>
      <c r="U49" s="6" t="s">
        <v>268</v>
      </c>
      <c r="V49" s="6" t="s">
        <v>269</v>
      </c>
      <c r="W49" s="10">
        <v>45428.7600347222</v>
      </c>
      <c r="X49" s="6"/>
      <c r="Y49" s="6"/>
      <c r="Z49" s="6"/>
      <c r="AA49" s="6"/>
      <c r="AB49" s="6">
        <v>45428.7600347222</v>
      </c>
      <c r="AC49" s="6" t="s">
        <v>269</v>
      </c>
    </row>
    <row r="50" s="1" customFormat="1" ht="17.25" customHeight="1" spans="1:29">
      <c r="A50" s="5" t="s">
        <v>518</v>
      </c>
      <c r="B50" s="5" t="s">
        <v>389</v>
      </c>
      <c r="C50" s="5" t="s">
        <v>259</v>
      </c>
      <c r="D50" s="5" t="s">
        <v>27</v>
      </c>
      <c r="E50" s="5"/>
      <c r="F50" s="5" t="s">
        <v>389</v>
      </c>
      <c r="G50" s="5" t="s">
        <v>261</v>
      </c>
      <c r="H50" s="5" t="s">
        <v>519</v>
      </c>
      <c r="I50" s="5" t="s">
        <v>518</v>
      </c>
      <c r="J50" s="5" t="s">
        <v>297</v>
      </c>
      <c r="K50" s="5" t="s">
        <v>298</v>
      </c>
      <c r="L50" s="5" t="s">
        <v>520</v>
      </c>
      <c r="M50" s="5"/>
      <c r="N50" s="5" t="s">
        <v>521</v>
      </c>
      <c r="O50" s="5"/>
      <c r="P50" s="5"/>
      <c r="Q50" s="5" t="s">
        <v>522</v>
      </c>
      <c r="R50" s="5"/>
      <c r="S50" s="5"/>
      <c r="T50" s="5"/>
      <c r="U50" s="5" t="s">
        <v>268</v>
      </c>
      <c r="V50" s="5" t="s">
        <v>269</v>
      </c>
      <c r="W50" s="9">
        <v>45428.7600347222</v>
      </c>
      <c r="X50" s="5"/>
      <c r="Y50" s="5"/>
      <c r="Z50" s="5"/>
      <c r="AA50" s="5"/>
      <c r="AB50" s="5">
        <v>45428.7600347222</v>
      </c>
      <c r="AC50" s="5" t="s">
        <v>269</v>
      </c>
    </row>
    <row r="51" s="1" customFormat="1" ht="17.25" customHeight="1" spans="1:29">
      <c r="A51" s="6" t="s">
        <v>523</v>
      </c>
      <c r="B51" s="6" t="s">
        <v>389</v>
      </c>
      <c r="C51" s="6" t="s">
        <v>259</v>
      </c>
      <c r="D51" s="6" t="s">
        <v>27</v>
      </c>
      <c r="E51" s="6"/>
      <c r="F51" s="6" t="s">
        <v>389</v>
      </c>
      <c r="G51" s="6" t="s">
        <v>261</v>
      </c>
      <c r="H51" s="6" t="s">
        <v>524</v>
      </c>
      <c r="I51" s="6" t="s">
        <v>523</v>
      </c>
      <c r="J51" s="6" t="s">
        <v>324</v>
      </c>
      <c r="K51" s="6" t="s">
        <v>325</v>
      </c>
      <c r="L51" s="6" t="s">
        <v>525</v>
      </c>
      <c r="M51" s="6"/>
      <c r="N51" s="6" t="s">
        <v>526</v>
      </c>
      <c r="O51" s="6"/>
      <c r="P51" s="6"/>
      <c r="Q51" s="6" t="s">
        <v>527</v>
      </c>
      <c r="R51" s="6"/>
      <c r="S51" s="6"/>
      <c r="T51" s="6"/>
      <c r="U51" s="6" t="s">
        <v>268</v>
      </c>
      <c r="V51" s="6" t="s">
        <v>269</v>
      </c>
      <c r="W51" s="10">
        <v>45428.7600347222</v>
      </c>
      <c r="X51" s="6"/>
      <c r="Y51" s="6"/>
      <c r="Z51" s="6"/>
      <c r="AA51" s="6"/>
      <c r="AB51" s="6">
        <v>45428.7600347222</v>
      </c>
      <c r="AC51" s="6" t="s">
        <v>269</v>
      </c>
    </row>
    <row r="52" s="1" customFormat="1" ht="17.25" customHeight="1" spans="1:29">
      <c r="A52" s="5" t="s">
        <v>528</v>
      </c>
      <c r="B52" s="5" t="s">
        <v>389</v>
      </c>
      <c r="C52" s="5" t="s">
        <v>259</v>
      </c>
      <c r="D52" s="5" t="s">
        <v>27</v>
      </c>
      <c r="E52" s="5"/>
      <c r="F52" s="5" t="s">
        <v>389</v>
      </c>
      <c r="G52" s="5" t="s">
        <v>261</v>
      </c>
      <c r="H52" s="5" t="s">
        <v>529</v>
      </c>
      <c r="I52" s="5" t="s">
        <v>528</v>
      </c>
      <c r="J52" s="5" t="s">
        <v>530</v>
      </c>
      <c r="K52" s="5" t="s">
        <v>531</v>
      </c>
      <c r="L52" s="5" t="s">
        <v>532</v>
      </c>
      <c r="M52" s="5"/>
      <c r="N52" s="5" t="s">
        <v>533</v>
      </c>
      <c r="O52" s="5"/>
      <c r="P52" s="5"/>
      <c r="Q52" s="5" t="s">
        <v>534</v>
      </c>
      <c r="R52" s="5"/>
      <c r="S52" s="5"/>
      <c r="T52" s="5"/>
      <c r="U52" s="5" t="s">
        <v>268</v>
      </c>
      <c r="V52" s="5" t="s">
        <v>269</v>
      </c>
      <c r="W52" s="9">
        <v>45428.7600347222</v>
      </c>
      <c r="X52" s="5"/>
      <c r="Y52" s="5"/>
      <c r="Z52" s="5"/>
      <c r="AA52" s="5"/>
      <c r="AB52" s="5">
        <v>45428.7600347222</v>
      </c>
      <c r="AC52" s="5" t="s">
        <v>269</v>
      </c>
    </row>
    <row r="53" s="1" customFormat="1" ht="17.25" customHeight="1" spans="1:29">
      <c r="A53" s="6" t="s">
        <v>535</v>
      </c>
      <c r="B53" s="6" t="s">
        <v>389</v>
      </c>
      <c r="C53" s="6" t="s">
        <v>259</v>
      </c>
      <c r="D53" s="6" t="s">
        <v>27</v>
      </c>
      <c r="E53" s="6"/>
      <c r="F53" s="6" t="s">
        <v>389</v>
      </c>
      <c r="G53" s="6" t="s">
        <v>261</v>
      </c>
      <c r="H53" s="6" t="s">
        <v>536</v>
      </c>
      <c r="I53" s="6" t="s">
        <v>535</v>
      </c>
      <c r="J53" s="6" t="s">
        <v>371</v>
      </c>
      <c r="K53" s="6" t="s">
        <v>372</v>
      </c>
      <c r="L53" s="6" t="s">
        <v>537</v>
      </c>
      <c r="M53" s="6"/>
      <c r="N53" s="6" t="s">
        <v>538</v>
      </c>
      <c r="O53" s="6"/>
      <c r="P53" s="6"/>
      <c r="Q53" s="6" t="s">
        <v>375</v>
      </c>
      <c r="R53" s="6"/>
      <c r="S53" s="6"/>
      <c r="T53" s="6"/>
      <c r="U53" s="6" t="s">
        <v>268</v>
      </c>
      <c r="V53" s="6" t="s">
        <v>269</v>
      </c>
      <c r="W53" s="10">
        <v>45428.7600347222</v>
      </c>
      <c r="X53" s="6"/>
      <c r="Y53" s="6"/>
      <c r="Z53" s="6"/>
      <c r="AA53" s="6"/>
      <c r="AB53" s="6">
        <v>45428.7600347222</v>
      </c>
      <c r="AC53" s="6" t="s">
        <v>269</v>
      </c>
    </row>
    <row r="54" s="1" customFormat="1" ht="17.25" customHeight="1" spans="1:29">
      <c r="A54" s="5" t="s">
        <v>539</v>
      </c>
      <c r="B54" s="5" t="s">
        <v>389</v>
      </c>
      <c r="C54" s="5" t="s">
        <v>259</v>
      </c>
      <c r="D54" s="5" t="s">
        <v>27</v>
      </c>
      <c r="E54" s="5"/>
      <c r="F54" s="5" t="s">
        <v>389</v>
      </c>
      <c r="G54" s="5" t="s">
        <v>261</v>
      </c>
      <c r="H54" s="5" t="s">
        <v>540</v>
      </c>
      <c r="I54" s="5" t="s">
        <v>539</v>
      </c>
      <c r="J54" s="5" t="s">
        <v>304</v>
      </c>
      <c r="K54" s="5" t="s">
        <v>305</v>
      </c>
      <c r="L54" s="5" t="s">
        <v>541</v>
      </c>
      <c r="M54" s="5"/>
      <c r="N54" s="5" t="s">
        <v>542</v>
      </c>
      <c r="O54" s="5"/>
      <c r="P54" s="5"/>
      <c r="Q54" s="5" t="s">
        <v>543</v>
      </c>
      <c r="R54" s="5"/>
      <c r="S54" s="5"/>
      <c r="T54" s="5"/>
      <c r="U54" s="5" t="s">
        <v>268</v>
      </c>
      <c r="V54" s="5" t="s">
        <v>269</v>
      </c>
      <c r="W54" s="9">
        <v>45428.7600347222</v>
      </c>
      <c r="X54" s="5"/>
      <c r="Y54" s="5"/>
      <c r="Z54" s="5"/>
      <c r="AA54" s="5"/>
      <c r="AB54" s="5">
        <v>45428.7600347222</v>
      </c>
      <c r="AC54" s="5" t="s">
        <v>269</v>
      </c>
    </row>
    <row r="55" s="1" customFormat="1" ht="17.25" customHeight="1" spans="1:29">
      <c r="A55" s="6" t="s">
        <v>544</v>
      </c>
      <c r="B55" s="6" t="s">
        <v>389</v>
      </c>
      <c r="C55" s="6" t="s">
        <v>259</v>
      </c>
      <c r="D55" s="6" t="s">
        <v>27</v>
      </c>
      <c r="E55" s="6"/>
      <c r="F55" s="6" t="s">
        <v>389</v>
      </c>
      <c r="G55" s="6" t="s">
        <v>261</v>
      </c>
      <c r="H55" s="6" t="s">
        <v>545</v>
      </c>
      <c r="I55" s="6" t="s">
        <v>544</v>
      </c>
      <c r="J55" s="6" t="s">
        <v>304</v>
      </c>
      <c r="K55" s="6" t="s">
        <v>305</v>
      </c>
      <c r="L55" s="6" t="s">
        <v>314</v>
      </c>
      <c r="M55" s="6"/>
      <c r="N55" s="6" t="s">
        <v>546</v>
      </c>
      <c r="O55" s="6"/>
      <c r="P55" s="6"/>
      <c r="Q55" s="6" t="s">
        <v>316</v>
      </c>
      <c r="R55" s="6"/>
      <c r="S55" s="6"/>
      <c r="T55" s="6"/>
      <c r="U55" s="6" t="s">
        <v>268</v>
      </c>
      <c r="V55" s="6" t="s">
        <v>269</v>
      </c>
      <c r="W55" s="10">
        <v>45428.7600347222</v>
      </c>
      <c r="X55" s="6"/>
      <c r="Y55" s="6"/>
      <c r="Z55" s="6"/>
      <c r="AA55" s="6"/>
      <c r="AB55" s="6">
        <v>45428.7600347222</v>
      </c>
      <c r="AC55" s="6" t="s">
        <v>269</v>
      </c>
    </row>
    <row r="56" s="1" customFormat="1" ht="17.25" customHeight="1" spans="1:29">
      <c r="A56" s="5" t="s">
        <v>547</v>
      </c>
      <c r="B56" s="5" t="s">
        <v>389</v>
      </c>
      <c r="C56" s="5" t="s">
        <v>259</v>
      </c>
      <c r="D56" s="5" t="s">
        <v>27</v>
      </c>
      <c r="E56" s="5"/>
      <c r="F56" s="5" t="s">
        <v>389</v>
      </c>
      <c r="G56" s="5" t="s">
        <v>261</v>
      </c>
      <c r="H56" s="5" t="s">
        <v>548</v>
      </c>
      <c r="I56" s="5" t="s">
        <v>547</v>
      </c>
      <c r="J56" s="5" t="s">
        <v>304</v>
      </c>
      <c r="K56" s="5" t="s">
        <v>305</v>
      </c>
      <c r="L56" s="5" t="s">
        <v>314</v>
      </c>
      <c r="M56" s="5"/>
      <c r="N56" s="5" t="s">
        <v>549</v>
      </c>
      <c r="O56" s="5"/>
      <c r="P56" s="5"/>
      <c r="Q56" s="5" t="s">
        <v>316</v>
      </c>
      <c r="R56" s="5"/>
      <c r="S56" s="5"/>
      <c r="T56" s="5"/>
      <c r="U56" s="5" t="s">
        <v>268</v>
      </c>
      <c r="V56" s="5" t="s">
        <v>269</v>
      </c>
      <c r="W56" s="9">
        <v>45428.7600347222</v>
      </c>
      <c r="X56" s="5"/>
      <c r="Y56" s="5"/>
      <c r="Z56" s="5"/>
      <c r="AA56" s="5"/>
      <c r="AB56" s="5">
        <v>45428.7600347222</v>
      </c>
      <c r="AC56" s="5" t="s">
        <v>269</v>
      </c>
    </row>
    <row r="57" s="1" customFormat="1" ht="17.25" customHeight="1" spans="1:29">
      <c r="A57" s="6" t="s">
        <v>550</v>
      </c>
      <c r="B57" s="6" t="s">
        <v>389</v>
      </c>
      <c r="C57" s="6" t="s">
        <v>259</v>
      </c>
      <c r="D57" s="6" t="s">
        <v>27</v>
      </c>
      <c r="E57" s="6"/>
      <c r="F57" s="6" t="s">
        <v>389</v>
      </c>
      <c r="G57" s="6" t="s">
        <v>261</v>
      </c>
      <c r="H57" s="6" t="s">
        <v>551</v>
      </c>
      <c r="I57" s="6" t="s">
        <v>550</v>
      </c>
      <c r="J57" s="6" t="s">
        <v>304</v>
      </c>
      <c r="K57" s="6" t="s">
        <v>305</v>
      </c>
      <c r="L57" s="6" t="s">
        <v>319</v>
      </c>
      <c r="M57" s="6"/>
      <c r="N57" s="6" t="s">
        <v>552</v>
      </c>
      <c r="O57" s="6"/>
      <c r="P57" s="6"/>
      <c r="Q57" s="6" t="s">
        <v>321</v>
      </c>
      <c r="R57" s="6"/>
      <c r="S57" s="6"/>
      <c r="T57" s="6"/>
      <c r="U57" s="6" t="s">
        <v>268</v>
      </c>
      <c r="V57" s="6" t="s">
        <v>269</v>
      </c>
      <c r="W57" s="10">
        <v>45428.7600347222</v>
      </c>
      <c r="X57" s="6"/>
      <c r="Y57" s="6"/>
      <c r="Z57" s="6"/>
      <c r="AA57" s="6"/>
      <c r="AB57" s="6">
        <v>45428.7600347222</v>
      </c>
      <c r="AC57" s="6" t="s">
        <v>269</v>
      </c>
    </row>
    <row r="58" s="1" customFormat="1" ht="17.25" customHeight="1" spans="1:29">
      <c r="A58" s="5" t="s">
        <v>553</v>
      </c>
      <c r="B58" s="5" t="s">
        <v>389</v>
      </c>
      <c r="C58" s="5" t="s">
        <v>259</v>
      </c>
      <c r="D58" s="5" t="s">
        <v>27</v>
      </c>
      <c r="E58" s="5"/>
      <c r="F58" s="5" t="s">
        <v>389</v>
      </c>
      <c r="G58" s="5" t="s">
        <v>261</v>
      </c>
      <c r="H58" s="5" t="s">
        <v>554</v>
      </c>
      <c r="I58" s="5" t="s">
        <v>553</v>
      </c>
      <c r="J58" s="5" t="s">
        <v>304</v>
      </c>
      <c r="K58" s="5" t="s">
        <v>305</v>
      </c>
      <c r="L58" s="5" t="s">
        <v>555</v>
      </c>
      <c r="M58" s="5"/>
      <c r="N58" s="5" t="s">
        <v>556</v>
      </c>
      <c r="O58" s="5"/>
      <c r="P58" s="5"/>
      <c r="Q58" s="5" t="s">
        <v>557</v>
      </c>
      <c r="R58" s="5"/>
      <c r="S58" s="5"/>
      <c r="T58" s="5"/>
      <c r="U58" s="5" t="s">
        <v>268</v>
      </c>
      <c r="V58" s="5" t="s">
        <v>269</v>
      </c>
      <c r="W58" s="9">
        <v>45428.7600347222</v>
      </c>
      <c r="X58" s="5"/>
      <c r="Y58" s="5"/>
      <c r="Z58" s="5"/>
      <c r="AA58" s="5"/>
      <c r="AB58" s="5">
        <v>45428.7600347222</v>
      </c>
      <c r="AC58" s="5" t="s">
        <v>269</v>
      </c>
    </row>
    <row r="59" s="1" customFormat="1" ht="17.25" customHeight="1" spans="1:29">
      <c r="A59" s="6" t="s">
        <v>558</v>
      </c>
      <c r="B59" s="6" t="s">
        <v>389</v>
      </c>
      <c r="C59" s="6" t="s">
        <v>259</v>
      </c>
      <c r="D59" s="6" t="s">
        <v>27</v>
      </c>
      <c r="E59" s="6"/>
      <c r="F59" s="6" t="s">
        <v>389</v>
      </c>
      <c r="G59" s="6" t="s">
        <v>261</v>
      </c>
      <c r="H59" s="6" t="s">
        <v>559</v>
      </c>
      <c r="I59" s="6" t="s">
        <v>558</v>
      </c>
      <c r="J59" s="6" t="s">
        <v>304</v>
      </c>
      <c r="K59" s="6" t="s">
        <v>305</v>
      </c>
      <c r="L59" s="6" t="s">
        <v>314</v>
      </c>
      <c r="M59" s="6"/>
      <c r="N59" s="6" t="s">
        <v>560</v>
      </c>
      <c r="O59" s="6"/>
      <c r="P59" s="6"/>
      <c r="Q59" s="6" t="s">
        <v>316</v>
      </c>
      <c r="R59" s="6"/>
      <c r="S59" s="6"/>
      <c r="T59" s="6"/>
      <c r="U59" s="6" t="s">
        <v>268</v>
      </c>
      <c r="V59" s="6" t="s">
        <v>269</v>
      </c>
      <c r="W59" s="10">
        <v>45428.7600347222</v>
      </c>
      <c r="X59" s="6"/>
      <c r="Y59" s="6"/>
      <c r="Z59" s="6"/>
      <c r="AA59" s="6"/>
      <c r="AB59" s="6">
        <v>45428.7600347222</v>
      </c>
      <c r="AC59" s="6" t="s">
        <v>269</v>
      </c>
    </row>
    <row r="60" s="1" customFormat="1" ht="17.25" customHeight="1" spans="1:29">
      <c r="A60" s="5" t="s">
        <v>561</v>
      </c>
      <c r="B60" s="5" t="s">
        <v>389</v>
      </c>
      <c r="C60" s="5" t="s">
        <v>259</v>
      </c>
      <c r="D60" s="5" t="s">
        <v>27</v>
      </c>
      <c r="E60" s="5"/>
      <c r="F60" s="5" t="s">
        <v>389</v>
      </c>
      <c r="G60" s="5" t="s">
        <v>261</v>
      </c>
      <c r="H60" s="5" t="s">
        <v>562</v>
      </c>
      <c r="I60" s="5" t="s">
        <v>561</v>
      </c>
      <c r="J60" s="5" t="s">
        <v>304</v>
      </c>
      <c r="K60" s="5" t="s">
        <v>305</v>
      </c>
      <c r="L60" s="5" t="s">
        <v>563</v>
      </c>
      <c r="M60" s="5"/>
      <c r="N60" s="5" t="s">
        <v>564</v>
      </c>
      <c r="O60" s="5"/>
      <c r="P60" s="5"/>
      <c r="Q60" s="5" t="s">
        <v>565</v>
      </c>
      <c r="R60" s="5"/>
      <c r="S60" s="5"/>
      <c r="T60" s="5"/>
      <c r="U60" s="5" t="s">
        <v>268</v>
      </c>
      <c r="V60" s="5" t="s">
        <v>269</v>
      </c>
      <c r="W60" s="9">
        <v>45428.7600347222</v>
      </c>
      <c r="X60" s="5"/>
      <c r="Y60" s="5"/>
      <c r="Z60" s="5"/>
      <c r="AA60" s="5"/>
      <c r="AB60" s="5">
        <v>45428.7600347222</v>
      </c>
      <c r="AC60" s="5" t="s">
        <v>269</v>
      </c>
    </row>
    <row r="61" s="1" customFormat="1" ht="17.25" customHeight="1" spans="1:29">
      <c r="A61" s="6" t="s">
        <v>566</v>
      </c>
      <c r="B61" s="6" t="s">
        <v>389</v>
      </c>
      <c r="C61" s="6" t="s">
        <v>259</v>
      </c>
      <c r="D61" s="6" t="s">
        <v>27</v>
      </c>
      <c r="E61" s="6"/>
      <c r="F61" s="6" t="s">
        <v>389</v>
      </c>
      <c r="G61" s="6" t="s">
        <v>261</v>
      </c>
      <c r="H61" s="6" t="s">
        <v>567</v>
      </c>
      <c r="I61" s="6" t="s">
        <v>566</v>
      </c>
      <c r="J61" s="6" t="s">
        <v>290</v>
      </c>
      <c r="K61" s="6" t="s">
        <v>291</v>
      </c>
      <c r="L61" s="6" t="s">
        <v>568</v>
      </c>
      <c r="M61" s="6"/>
      <c r="N61" s="6" t="s">
        <v>569</v>
      </c>
      <c r="O61" s="6"/>
      <c r="P61" s="6"/>
      <c r="Q61" s="6" t="s">
        <v>570</v>
      </c>
      <c r="R61" s="6"/>
      <c r="S61" s="6"/>
      <c r="T61" s="6"/>
      <c r="U61" s="6" t="s">
        <v>268</v>
      </c>
      <c r="V61" s="6" t="s">
        <v>269</v>
      </c>
      <c r="W61" s="10">
        <v>45428.7600347222</v>
      </c>
      <c r="X61" s="6"/>
      <c r="Y61" s="6"/>
      <c r="Z61" s="6"/>
      <c r="AA61" s="6"/>
      <c r="AB61" s="6">
        <v>45428.7600347222</v>
      </c>
      <c r="AC61" s="6" t="s">
        <v>269</v>
      </c>
    </row>
    <row r="62" s="1" customFormat="1" ht="17.25" customHeight="1" spans="1:29">
      <c r="A62" s="5" t="s">
        <v>571</v>
      </c>
      <c r="B62" s="5" t="s">
        <v>389</v>
      </c>
      <c r="C62" s="5" t="s">
        <v>259</v>
      </c>
      <c r="D62" s="5" t="s">
        <v>27</v>
      </c>
      <c r="E62" s="5"/>
      <c r="F62" s="5" t="s">
        <v>389</v>
      </c>
      <c r="G62" s="5" t="s">
        <v>261</v>
      </c>
      <c r="H62" s="5" t="s">
        <v>572</v>
      </c>
      <c r="I62" s="5" t="s">
        <v>571</v>
      </c>
      <c r="J62" s="5" t="s">
        <v>290</v>
      </c>
      <c r="K62" s="5" t="s">
        <v>291</v>
      </c>
      <c r="L62" s="5" t="s">
        <v>573</v>
      </c>
      <c r="M62" s="5"/>
      <c r="N62" s="5" t="s">
        <v>574</v>
      </c>
      <c r="O62" s="5"/>
      <c r="P62" s="5"/>
      <c r="Q62" s="5" t="s">
        <v>575</v>
      </c>
      <c r="R62" s="5"/>
      <c r="S62" s="5"/>
      <c r="T62" s="5"/>
      <c r="U62" s="5" t="s">
        <v>268</v>
      </c>
      <c r="V62" s="5" t="s">
        <v>269</v>
      </c>
      <c r="W62" s="9">
        <v>45428.7600347222</v>
      </c>
      <c r="X62" s="5"/>
      <c r="Y62" s="5"/>
      <c r="Z62" s="5"/>
      <c r="AA62" s="5"/>
      <c r="AB62" s="5">
        <v>45428.7600347222</v>
      </c>
      <c r="AC62" s="5" t="s">
        <v>269</v>
      </c>
    </row>
    <row r="63" s="1" customFormat="1" ht="17.25" customHeight="1" spans="1:29">
      <c r="A63" s="6" t="s">
        <v>576</v>
      </c>
      <c r="B63" s="6" t="s">
        <v>389</v>
      </c>
      <c r="C63" s="6" t="s">
        <v>259</v>
      </c>
      <c r="D63" s="6" t="s">
        <v>27</v>
      </c>
      <c r="E63" s="6"/>
      <c r="F63" s="6" t="s">
        <v>389</v>
      </c>
      <c r="G63" s="6" t="s">
        <v>261</v>
      </c>
      <c r="H63" s="6" t="s">
        <v>577</v>
      </c>
      <c r="I63" s="6" t="s">
        <v>576</v>
      </c>
      <c r="J63" s="6" t="s">
        <v>290</v>
      </c>
      <c r="K63" s="6" t="s">
        <v>291</v>
      </c>
      <c r="L63" s="6" t="s">
        <v>292</v>
      </c>
      <c r="M63" s="6"/>
      <c r="N63" s="6" t="s">
        <v>578</v>
      </c>
      <c r="O63" s="6"/>
      <c r="P63" s="6"/>
      <c r="Q63" s="6" t="s">
        <v>579</v>
      </c>
      <c r="R63" s="6"/>
      <c r="S63" s="6"/>
      <c r="T63" s="6"/>
      <c r="U63" s="6" t="s">
        <v>268</v>
      </c>
      <c r="V63" s="6" t="s">
        <v>269</v>
      </c>
      <c r="W63" s="10">
        <v>45428.7600347222</v>
      </c>
      <c r="X63" s="6"/>
      <c r="Y63" s="6"/>
      <c r="Z63" s="6"/>
      <c r="AA63" s="6"/>
      <c r="AB63" s="6">
        <v>45428.7600347222</v>
      </c>
      <c r="AC63" s="6" t="s">
        <v>269</v>
      </c>
    </row>
    <row r="64" s="1" customFormat="1" ht="17.25" customHeight="1" spans="1:29">
      <c r="A64" s="5" t="s">
        <v>580</v>
      </c>
      <c r="B64" s="5" t="s">
        <v>389</v>
      </c>
      <c r="C64" s="5" t="s">
        <v>259</v>
      </c>
      <c r="D64" s="5" t="s">
        <v>27</v>
      </c>
      <c r="E64" s="5"/>
      <c r="F64" s="5" t="s">
        <v>389</v>
      </c>
      <c r="G64" s="5" t="s">
        <v>261</v>
      </c>
      <c r="H64" s="5" t="s">
        <v>581</v>
      </c>
      <c r="I64" s="5" t="s">
        <v>580</v>
      </c>
      <c r="J64" s="5" t="s">
        <v>263</v>
      </c>
      <c r="K64" s="5" t="s">
        <v>264</v>
      </c>
      <c r="L64" s="5" t="s">
        <v>582</v>
      </c>
      <c r="M64" s="5"/>
      <c r="N64" s="5" t="s">
        <v>583</v>
      </c>
      <c r="O64" s="5"/>
      <c r="P64" s="5"/>
      <c r="Q64" s="5" t="s">
        <v>584</v>
      </c>
      <c r="R64" s="5"/>
      <c r="S64" s="5"/>
      <c r="T64" s="5"/>
      <c r="U64" s="5" t="s">
        <v>268</v>
      </c>
      <c r="V64" s="5" t="s">
        <v>269</v>
      </c>
      <c r="W64" s="9">
        <v>45486.4960416667</v>
      </c>
      <c r="X64" s="5"/>
      <c r="Y64" s="5"/>
      <c r="Z64" s="5"/>
      <c r="AA64" s="5"/>
      <c r="AB64" s="5">
        <v>45428.7600347222</v>
      </c>
      <c r="AC64" s="5" t="s">
        <v>269</v>
      </c>
    </row>
    <row r="65" s="1" customFormat="1" ht="17.25" customHeight="1" spans="1:29">
      <c r="A65" s="6" t="s">
        <v>585</v>
      </c>
      <c r="B65" s="6" t="s">
        <v>389</v>
      </c>
      <c r="C65" s="6" t="s">
        <v>259</v>
      </c>
      <c r="D65" s="6" t="s">
        <v>27</v>
      </c>
      <c r="E65" s="6"/>
      <c r="F65" s="6" t="s">
        <v>389</v>
      </c>
      <c r="G65" s="6" t="s">
        <v>261</v>
      </c>
      <c r="H65" s="6" t="s">
        <v>586</v>
      </c>
      <c r="I65" s="6" t="s">
        <v>585</v>
      </c>
      <c r="J65" s="6" t="s">
        <v>331</v>
      </c>
      <c r="K65" s="6" t="s">
        <v>332</v>
      </c>
      <c r="L65" s="6" t="s">
        <v>587</v>
      </c>
      <c r="M65" s="6"/>
      <c r="N65" s="6" t="s">
        <v>588</v>
      </c>
      <c r="O65" s="6"/>
      <c r="P65" s="6"/>
      <c r="Q65" s="6" t="s">
        <v>589</v>
      </c>
      <c r="R65" s="6"/>
      <c r="S65" s="6"/>
      <c r="T65" s="6"/>
      <c r="U65" s="6" t="s">
        <v>268</v>
      </c>
      <c r="V65" s="6" t="s">
        <v>269</v>
      </c>
      <c r="W65" s="10">
        <v>45428.7600347222</v>
      </c>
      <c r="X65" s="6"/>
      <c r="Y65" s="6"/>
      <c r="Z65" s="6"/>
      <c r="AA65" s="6"/>
      <c r="AB65" s="6">
        <v>45428.7600347222</v>
      </c>
      <c r="AC65" s="6" t="s">
        <v>269</v>
      </c>
    </row>
    <row r="66" s="1" customFormat="1" ht="17.25" customHeight="1" spans="1:29">
      <c r="A66" s="5" t="s">
        <v>590</v>
      </c>
      <c r="B66" s="5" t="s">
        <v>389</v>
      </c>
      <c r="C66" s="5" t="s">
        <v>259</v>
      </c>
      <c r="D66" s="5" t="s">
        <v>27</v>
      </c>
      <c r="E66" s="5"/>
      <c r="F66" s="5" t="s">
        <v>389</v>
      </c>
      <c r="G66" s="5" t="s">
        <v>261</v>
      </c>
      <c r="H66" s="5" t="s">
        <v>591</v>
      </c>
      <c r="I66" s="5" t="s">
        <v>590</v>
      </c>
      <c r="J66" s="5" t="s">
        <v>331</v>
      </c>
      <c r="K66" s="5" t="s">
        <v>332</v>
      </c>
      <c r="L66" s="5" t="s">
        <v>587</v>
      </c>
      <c r="M66" s="5"/>
      <c r="N66" s="5" t="s">
        <v>592</v>
      </c>
      <c r="O66" s="5"/>
      <c r="P66" s="5"/>
      <c r="Q66" s="5" t="s">
        <v>589</v>
      </c>
      <c r="R66" s="5"/>
      <c r="S66" s="5"/>
      <c r="T66" s="5"/>
      <c r="U66" s="5" t="s">
        <v>268</v>
      </c>
      <c r="V66" s="5" t="s">
        <v>269</v>
      </c>
      <c r="W66" s="9">
        <v>45428.7600347222</v>
      </c>
      <c r="X66" s="5"/>
      <c r="Y66" s="5"/>
      <c r="Z66" s="5"/>
      <c r="AA66" s="5"/>
      <c r="AB66" s="5">
        <v>45428.7600347222</v>
      </c>
      <c r="AC66" s="5" t="s">
        <v>269</v>
      </c>
    </row>
    <row r="67" s="1" customFormat="1" ht="17.25" customHeight="1" spans="1:29">
      <c r="A67" s="6" t="s">
        <v>593</v>
      </c>
      <c r="B67" s="6" t="s">
        <v>389</v>
      </c>
      <c r="C67" s="6" t="s">
        <v>259</v>
      </c>
      <c r="D67" s="6" t="s">
        <v>27</v>
      </c>
      <c r="E67" s="6"/>
      <c r="F67" s="6" t="s">
        <v>389</v>
      </c>
      <c r="G67" s="6" t="s">
        <v>261</v>
      </c>
      <c r="H67" s="6" t="s">
        <v>594</v>
      </c>
      <c r="I67" s="6" t="s">
        <v>593</v>
      </c>
      <c r="J67" s="6" t="s">
        <v>331</v>
      </c>
      <c r="K67" s="6" t="s">
        <v>332</v>
      </c>
      <c r="L67" s="6" t="s">
        <v>587</v>
      </c>
      <c r="M67" s="6"/>
      <c r="N67" s="6" t="s">
        <v>595</v>
      </c>
      <c r="O67" s="6"/>
      <c r="P67" s="6"/>
      <c r="Q67" s="6" t="s">
        <v>589</v>
      </c>
      <c r="R67" s="6"/>
      <c r="S67" s="6"/>
      <c r="T67" s="6"/>
      <c r="U67" s="6" t="s">
        <v>268</v>
      </c>
      <c r="V67" s="6" t="s">
        <v>269</v>
      </c>
      <c r="W67" s="10">
        <v>45428.7600347222</v>
      </c>
      <c r="X67" s="6"/>
      <c r="Y67" s="6"/>
      <c r="Z67" s="6"/>
      <c r="AA67" s="6"/>
      <c r="AB67" s="6">
        <v>45428.7600347222</v>
      </c>
      <c r="AC67" s="6" t="s">
        <v>269</v>
      </c>
    </row>
    <row r="68" s="1" customFormat="1" ht="17.25" customHeight="1" spans="1:29">
      <c r="A68" s="5" t="s">
        <v>596</v>
      </c>
      <c r="B68" s="5" t="s">
        <v>389</v>
      </c>
      <c r="C68" s="5" t="s">
        <v>259</v>
      </c>
      <c r="D68" s="5" t="s">
        <v>27</v>
      </c>
      <c r="E68" s="5"/>
      <c r="F68" s="5" t="s">
        <v>389</v>
      </c>
      <c r="G68" s="5" t="s">
        <v>261</v>
      </c>
      <c r="H68" s="5" t="s">
        <v>597</v>
      </c>
      <c r="I68" s="5" t="s">
        <v>596</v>
      </c>
      <c r="J68" s="5" t="s">
        <v>331</v>
      </c>
      <c r="K68" s="5" t="s">
        <v>332</v>
      </c>
      <c r="L68" s="5" t="s">
        <v>587</v>
      </c>
      <c r="M68" s="5"/>
      <c r="N68" s="5" t="s">
        <v>598</v>
      </c>
      <c r="O68" s="5"/>
      <c r="P68" s="5"/>
      <c r="Q68" s="5" t="s">
        <v>589</v>
      </c>
      <c r="R68" s="5"/>
      <c r="S68" s="5"/>
      <c r="T68" s="5"/>
      <c r="U68" s="5" t="s">
        <v>268</v>
      </c>
      <c r="V68" s="5" t="s">
        <v>269</v>
      </c>
      <c r="W68" s="9">
        <v>45428.7600347222</v>
      </c>
      <c r="X68" s="5"/>
      <c r="Y68" s="5"/>
      <c r="Z68" s="5"/>
      <c r="AA68" s="5"/>
      <c r="AB68" s="5">
        <v>45428.7600347222</v>
      </c>
      <c r="AC68" s="5" t="s">
        <v>269</v>
      </c>
    </row>
    <row r="69" s="1" customFormat="1" ht="17.25" customHeight="1" spans="1:29">
      <c r="A69" s="6" t="s">
        <v>599</v>
      </c>
      <c r="B69" s="6" t="s">
        <v>389</v>
      </c>
      <c r="C69" s="6" t="s">
        <v>259</v>
      </c>
      <c r="D69" s="6" t="s">
        <v>27</v>
      </c>
      <c r="E69" s="6"/>
      <c r="F69" s="6" t="s">
        <v>389</v>
      </c>
      <c r="G69" s="6" t="s">
        <v>261</v>
      </c>
      <c r="H69" s="6" t="s">
        <v>600</v>
      </c>
      <c r="I69" s="6" t="s">
        <v>599</v>
      </c>
      <c r="J69" s="6" t="s">
        <v>297</v>
      </c>
      <c r="K69" s="6" t="s">
        <v>298</v>
      </c>
      <c r="L69" s="6" t="s">
        <v>601</v>
      </c>
      <c r="M69" s="6"/>
      <c r="N69" s="6" t="s">
        <v>602</v>
      </c>
      <c r="O69" s="6"/>
      <c r="P69" s="6"/>
      <c r="Q69" s="6" t="s">
        <v>603</v>
      </c>
      <c r="R69" s="6"/>
      <c r="S69" s="6"/>
      <c r="T69" s="6"/>
      <c r="U69" s="6" t="s">
        <v>268</v>
      </c>
      <c r="V69" s="6" t="s">
        <v>269</v>
      </c>
      <c r="W69" s="10">
        <v>45428.7600347222</v>
      </c>
      <c r="X69" s="6"/>
      <c r="Y69" s="6"/>
      <c r="Z69" s="6"/>
      <c r="AA69" s="6"/>
      <c r="AB69" s="6">
        <v>45428.7600347222</v>
      </c>
      <c r="AC69" s="6" t="s">
        <v>269</v>
      </c>
    </row>
    <row r="70" s="1" customFormat="1" ht="17.25" customHeight="1" spans="1:29">
      <c r="A70" s="5" t="s">
        <v>604</v>
      </c>
      <c r="B70" s="5" t="s">
        <v>389</v>
      </c>
      <c r="C70" s="5" t="s">
        <v>259</v>
      </c>
      <c r="D70" s="5" t="s">
        <v>27</v>
      </c>
      <c r="E70" s="5"/>
      <c r="F70" s="5" t="s">
        <v>389</v>
      </c>
      <c r="G70" s="5" t="s">
        <v>261</v>
      </c>
      <c r="H70" s="5" t="s">
        <v>605</v>
      </c>
      <c r="I70" s="5" t="s">
        <v>604</v>
      </c>
      <c r="J70" s="5" t="s">
        <v>297</v>
      </c>
      <c r="K70" s="5" t="s">
        <v>298</v>
      </c>
      <c r="L70" s="5" t="s">
        <v>606</v>
      </c>
      <c r="M70" s="5"/>
      <c r="N70" s="5" t="s">
        <v>607</v>
      </c>
      <c r="O70" s="5"/>
      <c r="P70" s="5"/>
      <c r="Q70" s="5" t="s">
        <v>608</v>
      </c>
      <c r="R70" s="5"/>
      <c r="S70" s="5"/>
      <c r="T70" s="5"/>
      <c r="U70" s="5" t="s">
        <v>268</v>
      </c>
      <c r="V70" s="5" t="s">
        <v>269</v>
      </c>
      <c r="W70" s="9">
        <v>45428.7600347222</v>
      </c>
      <c r="X70" s="5"/>
      <c r="Y70" s="5"/>
      <c r="Z70" s="5"/>
      <c r="AA70" s="5"/>
      <c r="AB70" s="5">
        <v>45428.7600347222</v>
      </c>
      <c r="AC70" s="5" t="s">
        <v>269</v>
      </c>
    </row>
    <row r="71" s="1" customFormat="1" ht="17.25" customHeight="1" spans="1:29">
      <c r="A71" s="6" t="s">
        <v>609</v>
      </c>
      <c r="B71" s="6" t="s">
        <v>389</v>
      </c>
      <c r="C71" s="6" t="s">
        <v>259</v>
      </c>
      <c r="D71" s="6" t="s">
        <v>27</v>
      </c>
      <c r="E71" s="6"/>
      <c r="F71" s="6" t="s">
        <v>389</v>
      </c>
      <c r="G71" s="6" t="s">
        <v>261</v>
      </c>
      <c r="H71" s="6" t="s">
        <v>610</v>
      </c>
      <c r="I71" s="6" t="s">
        <v>609</v>
      </c>
      <c r="J71" s="6" t="s">
        <v>611</v>
      </c>
      <c r="K71" s="6" t="s">
        <v>612</v>
      </c>
      <c r="L71" s="6" t="s">
        <v>613</v>
      </c>
      <c r="M71" s="6"/>
      <c r="N71" s="6" t="s">
        <v>614</v>
      </c>
      <c r="O71" s="6"/>
      <c r="P71" s="6"/>
      <c r="Q71" s="6" t="s">
        <v>615</v>
      </c>
      <c r="R71" s="6"/>
      <c r="S71" s="6"/>
      <c r="T71" s="6"/>
      <c r="U71" s="6" t="s">
        <v>268</v>
      </c>
      <c r="V71" s="6" t="s">
        <v>269</v>
      </c>
      <c r="W71" s="10">
        <v>45428.7600347222</v>
      </c>
      <c r="X71" s="6"/>
      <c r="Y71" s="6"/>
      <c r="Z71" s="6"/>
      <c r="AA71" s="6"/>
      <c r="AB71" s="6">
        <v>45428.7600347222</v>
      </c>
      <c r="AC71" s="6" t="s">
        <v>269</v>
      </c>
    </row>
    <row r="72" s="1" customFormat="1" ht="17.25" customHeight="1" spans="1:29">
      <c r="A72" s="5" t="s">
        <v>616</v>
      </c>
      <c r="B72" s="5" t="s">
        <v>389</v>
      </c>
      <c r="C72" s="5" t="s">
        <v>259</v>
      </c>
      <c r="D72" s="5" t="s">
        <v>27</v>
      </c>
      <c r="E72" s="5"/>
      <c r="F72" s="5" t="s">
        <v>389</v>
      </c>
      <c r="G72" s="5" t="s">
        <v>261</v>
      </c>
      <c r="H72" s="5" t="s">
        <v>617</v>
      </c>
      <c r="I72" s="5" t="s">
        <v>616</v>
      </c>
      <c r="J72" s="5" t="s">
        <v>611</v>
      </c>
      <c r="K72" s="5" t="s">
        <v>612</v>
      </c>
      <c r="L72" s="5" t="s">
        <v>618</v>
      </c>
      <c r="M72" s="5"/>
      <c r="N72" s="5" t="s">
        <v>619</v>
      </c>
      <c r="O72" s="5"/>
      <c r="P72" s="5"/>
      <c r="Q72" s="5" t="s">
        <v>615</v>
      </c>
      <c r="R72" s="5"/>
      <c r="S72" s="5"/>
      <c r="T72" s="5"/>
      <c r="U72" s="5" t="s">
        <v>268</v>
      </c>
      <c r="V72" s="5" t="s">
        <v>269</v>
      </c>
      <c r="W72" s="9">
        <v>45428.7600347222</v>
      </c>
      <c r="X72" s="5"/>
      <c r="Y72" s="5"/>
      <c r="Z72" s="5"/>
      <c r="AA72" s="5"/>
      <c r="AB72" s="5">
        <v>45428.7600347222</v>
      </c>
      <c r="AC72" s="5" t="s">
        <v>269</v>
      </c>
    </row>
    <row r="73" s="1" customFormat="1" ht="17.25" customHeight="1" spans="1:29">
      <c r="A73" s="6" t="s">
        <v>620</v>
      </c>
      <c r="B73" s="6" t="s">
        <v>389</v>
      </c>
      <c r="C73" s="6" t="s">
        <v>259</v>
      </c>
      <c r="D73" s="6" t="s">
        <v>27</v>
      </c>
      <c r="E73" s="6"/>
      <c r="F73" s="6" t="s">
        <v>389</v>
      </c>
      <c r="G73" s="6" t="s">
        <v>261</v>
      </c>
      <c r="H73" s="6" t="s">
        <v>621</v>
      </c>
      <c r="I73" s="6" t="s">
        <v>620</v>
      </c>
      <c r="J73" s="6" t="s">
        <v>407</v>
      </c>
      <c r="K73" s="6" t="s">
        <v>408</v>
      </c>
      <c r="L73" s="6" t="s">
        <v>622</v>
      </c>
      <c r="M73" s="6"/>
      <c r="N73" s="6" t="s">
        <v>623</v>
      </c>
      <c r="O73" s="6"/>
      <c r="P73" s="6"/>
      <c r="Q73" s="6" t="s">
        <v>624</v>
      </c>
      <c r="R73" s="6"/>
      <c r="S73" s="6"/>
      <c r="T73" s="6"/>
      <c r="U73" s="6" t="s">
        <v>268</v>
      </c>
      <c r="V73" s="6" t="s">
        <v>269</v>
      </c>
      <c r="W73" s="10">
        <v>45428.7600347222</v>
      </c>
      <c r="X73" s="6"/>
      <c r="Y73" s="6"/>
      <c r="Z73" s="6"/>
      <c r="AA73" s="6"/>
      <c r="AB73" s="6">
        <v>45428.7600347222</v>
      </c>
      <c r="AC73" s="6" t="s">
        <v>269</v>
      </c>
    </row>
    <row r="74" s="1" customFormat="1" ht="17.25" customHeight="1" spans="1:29">
      <c r="A74" s="5" t="s">
        <v>625</v>
      </c>
      <c r="B74" s="5" t="s">
        <v>389</v>
      </c>
      <c r="C74" s="5" t="s">
        <v>259</v>
      </c>
      <c r="D74" s="5" t="s">
        <v>27</v>
      </c>
      <c r="E74" s="5"/>
      <c r="F74" s="5" t="s">
        <v>389</v>
      </c>
      <c r="G74" s="5" t="s">
        <v>261</v>
      </c>
      <c r="H74" s="5" t="s">
        <v>626</v>
      </c>
      <c r="I74" s="5" t="s">
        <v>625</v>
      </c>
      <c r="J74" s="5" t="s">
        <v>407</v>
      </c>
      <c r="K74" s="5" t="s">
        <v>408</v>
      </c>
      <c r="L74" s="5" t="s">
        <v>627</v>
      </c>
      <c r="M74" s="5"/>
      <c r="N74" s="5" t="s">
        <v>628</v>
      </c>
      <c r="O74" s="5"/>
      <c r="P74" s="5"/>
      <c r="Q74" s="5" t="s">
        <v>629</v>
      </c>
      <c r="R74" s="5"/>
      <c r="S74" s="5"/>
      <c r="T74" s="5"/>
      <c r="U74" s="5" t="s">
        <v>268</v>
      </c>
      <c r="V74" s="5" t="s">
        <v>269</v>
      </c>
      <c r="W74" s="9">
        <v>45428.7600347222</v>
      </c>
      <c r="X74" s="5"/>
      <c r="Y74" s="5"/>
      <c r="Z74" s="5"/>
      <c r="AA74" s="5"/>
      <c r="AB74" s="5">
        <v>45428.7600347222</v>
      </c>
      <c r="AC74" s="5" t="s">
        <v>269</v>
      </c>
    </row>
    <row r="75" s="1" customFormat="1" ht="17.25" customHeight="1" spans="1:29">
      <c r="A75" s="6" t="s">
        <v>630</v>
      </c>
      <c r="B75" s="6" t="s">
        <v>389</v>
      </c>
      <c r="C75" s="6" t="s">
        <v>259</v>
      </c>
      <c r="D75" s="6" t="s">
        <v>27</v>
      </c>
      <c r="E75" s="6"/>
      <c r="F75" s="6" t="s">
        <v>389</v>
      </c>
      <c r="G75" s="6" t="s">
        <v>261</v>
      </c>
      <c r="H75" s="6" t="s">
        <v>631</v>
      </c>
      <c r="I75" s="6" t="s">
        <v>630</v>
      </c>
      <c r="J75" s="6" t="s">
        <v>407</v>
      </c>
      <c r="K75" s="6" t="s">
        <v>408</v>
      </c>
      <c r="L75" s="6" t="s">
        <v>409</v>
      </c>
      <c r="M75" s="6"/>
      <c r="N75" s="6" t="s">
        <v>632</v>
      </c>
      <c r="O75" s="6"/>
      <c r="P75" s="6"/>
      <c r="Q75" s="6" t="s">
        <v>624</v>
      </c>
      <c r="R75" s="6"/>
      <c r="S75" s="6"/>
      <c r="T75" s="6"/>
      <c r="U75" s="6" t="s">
        <v>268</v>
      </c>
      <c r="V75" s="6" t="s">
        <v>269</v>
      </c>
      <c r="W75" s="10">
        <v>45428.7600347222</v>
      </c>
      <c r="X75" s="6"/>
      <c r="Y75" s="6"/>
      <c r="Z75" s="6"/>
      <c r="AA75" s="6"/>
      <c r="AB75" s="6">
        <v>45428.7600347222</v>
      </c>
      <c r="AC75" s="6" t="s">
        <v>269</v>
      </c>
    </row>
    <row r="76" s="1" customFormat="1" ht="17.25" customHeight="1" spans="1:29">
      <c r="A76" s="5" t="s">
        <v>406</v>
      </c>
      <c r="B76" s="5" t="s">
        <v>389</v>
      </c>
      <c r="C76" s="5" t="s">
        <v>259</v>
      </c>
      <c r="D76" s="5" t="s">
        <v>27</v>
      </c>
      <c r="E76" s="5"/>
      <c r="F76" s="5" t="s">
        <v>389</v>
      </c>
      <c r="G76" s="5" t="s">
        <v>261</v>
      </c>
      <c r="H76" s="5" t="s">
        <v>633</v>
      </c>
      <c r="I76" s="5" t="s">
        <v>406</v>
      </c>
      <c r="J76" s="5" t="s">
        <v>407</v>
      </c>
      <c r="K76" s="5" t="s">
        <v>408</v>
      </c>
      <c r="L76" s="5" t="s">
        <v>409</v>
      </c>
      <c r="M76" s="5"/>
      <c r="N76" s="5" t="s">
        <v>410</v>
      </c>
      <c r="O76" s="5"/>
      <c r="P76" s="5"/>
      <c r="Q76" s="5" t="s">
        <v>634</v>
      </c>
      <c r="R76" s="5"/>
      <c r="S76" s="5"/>
      <c r="T76" s="5"/>
      <c r="U76" s="5" t="s">
        <v>268</v>
      </c>
      <c r="V76" s="5" t="s">
        <v>269</v>
      </c>
      <c r="W76" s="9">
        <v>45428.7600347222</v>
      </c>
      <c r="X76" s="5"/>
      <c r="Y76" s="5"/>
      <c r="Z76" s="5"/>
      <c r="AA76" s="5"/>
      <c r="AB76" s="5">
        <v>45428.7600347222</v>
      </c>
      <c r="AC76" s="5" t="s">
        <v>269</v>
      </c>
    </row>
    <row r="77" s="1" customFormat="1" ht="17.25" customHeight="1" spans="1:29">
      <c r="A77" s="6" t="s">
        <v>635</v>
      </c>
      <c r="B77" s="6" t="s">
        <v>389</v>
      </c>
      <c r="C77" s="6" t="s">
        <v>259</v>
      </c>
      <c r="D77" s="6" t="s">
        <v>27</v>
      </c>
      <c r="E77" s="6"/>
      <c r="F77" s="6" t="s">
        <v>389</v>
      </c>
      <c r="G77" s="6" t="s">
        <v>261</v>
      </c>
      <c r="H77" s="6" t="s">
        <v>636</v>
      </c>
      <c r="I77" s="6" t="s">
        <v>635</v>
      </c>
      <c r="J77" s="6" t="s">
        <v>637</v>
      </c>
      <c r="K77" s="6" t="s">
        <v>638</v>
      </c>
      <c r="L77" s="6" t="s">
        <v>639</v>
      </c>
      <c r="M77" s="6"/>
      <c r="N77" s="6" t="s">
        <v>640</v>
      </c>
      <c r="O77" s="6"/>
      <c r="P77" s="6"/>
      <c r="Q77" s="6" t="s">
        <v>641</v>
      </c>
      <c r="R77" s="6"/>
      <c r="S77" s="6"/>
      <c r="T77" s="6"/>
      <c r="U77" s="6" t="s">
        <v>268</v>
      </c>
      <c r="V77" s="6" t="s">
        <v>269</v>
      </c>
      <c r="W77" s="10">
        <v>45428.7600347222</v>
      </c>
      <c r="X77" s="6"/>
      <c r="Y77" s="6"/>
      <c r="Z77" s="6"/>
      <c r="AA77" s="6"/>
      <c r="AB77" s="6">
        <v>45428.7600347222</v>
      </c>
      <c r="AC77" s="6" t="s">
        <v>269</v>
      </c>
    </row>
    <row r="78" s="1" customFormat="1" ht="17.25" customHeight="1" spans="1:29">
      <c r="A78" s="5" t="s">
        <v>642</v>
      </c>
      <c r="B78" s="5" t="s">
        <v>389</v>
      </c>
      <c r="C78" s="5" t="s">
        <v>259</v>
      </c>
      <c r="D78" s="5" t="s">
        <v>27</v>
      </c>
      <c r="E78" s="5"/>
      <c r="F78" s="5" t="s">
        <v>389</v>
      </c>
      <c r="G78" s="5" t="s">
        <v>261</v>
      </c>
      <c r="H78" s="5" t="s">
        <v>643</v>
      </c>
      <c r="I78" s="5" t="s">
        <v>642</v>
      </c>
      <c r="J78" s="5" t="s">
        <v>637</v>
      </c>
      <c r="K78" s="5" t="s">
        <v>638</v>
      </c>
      <c r="L78" s="5" t="s">
        <v>644</v>
      </c>
      <c r="M78" s="5"/>
      <c r="N78" s="5" t="s">
        <v>645</v>
      </c>
      <c r="O78" s="5"/>
      <c r="P78" s="5"/>
      <c r="Q78" s="5" t="s">
        <v>646</v>
      </c>
      <c r="R78" s="5"/>
      <c r="S78" s="5"/>
      <c r="T78" s="5"/>
      <c r="U78" s="5" t="s">
        <v>268</v>
      </c>
      <c r="V78" s="5" t="s">
        <v>269</v>
      </c>
      <c r="W78" s="9">
        <v>45428.7600347222</v>
      </c>
      <c r="X78" s="5"/>
      <c r="Y78" s="5"/>
      <c r="Z78" s="5"/>
      <c r="AA78" s="5"/>
      <c r="AB78" s="5">
        <v>45428.7600347222</v>
      </c>
      <c r="AC78" s="5" t="s">
        <v>269</v>
      </c>
    </row>
    <row r="79" s="1" customFormat="1" ht="17.25" customHeight="1" spans="1:29">
      <c r="A79" s="6" t="s">
        <v>647</v>
      </c>
      <c r="B79" s="6" t="s">
        <v>389</v>
      </c>
      <c r="C79" s="6" t="s">
        <v>259</v>
      </c>
      <c r="D79" s="6" t="s">
        <v>27</v>
      </c>
      <c r="E79" s="6"/>
      <c r="F79" s="6" t="s">
        <v>389</v>
      </c>
      <c r="G79" s="6" t="s">
        <v>261</v>
      </c>
      <c r="H79" s="6" t="s">
        <v>648</v>
      </c>
      <c r="I79" s="6" t="s">
        <v>647</v>
      </c>
      <c r="J79" s="6" t="s">
        <v>297</v>
      </c>
      <c r="K79" s="6" t="s">
        <v>298</v>
      </c>
      <c r="L79" s="6" t="s">
        <v>649</v>
      </c>
      <c r="M79" s="6"/>
      <c r="N79" s="6" t="s">
        <v>650</v>
      </c>
      <c r="O79" s="6"/>
      <c r="P79" s="6"/>
      <c r="Q79" s="6" t="s">
        <v>651</v>
      </c>
      <c r="R79" s="6"/>
      <c r="S79" s="6"/>
      <c r="T79" s="6"/>
      <c r="U79" s="6" t="s">
        <v>268</v>
      </c>
      <c r="V79" s="6" t="s">
        <v>269</v>
      </c>
      <c r="W79" s="10">
        <v>45428.7600347222</v>
      </c>
      <c r="X79" s="6"/>
      <c r="Y79" s="6"/>
      <c r="Z79" s="6"/>
      <c r="AA79" s="6"/>
      <c r="AB79" s="6">
        <v>45428.7600347222</v>
      </c>
      <c r="AC79" s="6" t="s">
        <v>269</v>
      </c>
    </row>
    <row r="80" s="1" customFormat="1" ht="17.25" customHeight="1" spans="1:29">
      <c r="A80" s="5" t="s">
        <v>652</v>
      </c>
      <c r="B80" s="5" t="s">
        <v>389</v>
      </c>
      <c r="C80" s="5" t="s">
        <v>259</v>
      </c>
      <c r="D80" s="5" t="s">
        <v>27</v>
      </c>
      <c r="E80" s="5"/>
      <c r="F80" s="5" t="s">
        <v>389</v>
      </c>
      <c r="G80" s="5" t="s">
        <v>261</v>
      </c>
      <c r="H80" s="5" t="s">
        <v>653</v>
      </c>
      <c r="I80" s="5" t="s">
        <v>652</v>
      </c>
      <c r="J80" s="5" t="s">
        <v>654</v>
      </c>
      <c r="K80" s="5" t="s">
        <v>655</v>
      </c>
      <c r="L80" s="5" t="s">
        <v>656</v>
      </c>
      <c r="M80" s="5"/>
      <c r="N80" s="5" t="s">
        <v>657</v>
      </c>
      <c r="O80" s="5"/>
      <c r="P80" s="5"/>
      <c r="Q80" s="5" t="s">
        <v>658</v>
      </c>
      <c r="R80" s="5"/>
      <c r="S80" s="5"/>
      <c r="T80" s="5"/>
      <c r="U80" s="5" t="s">
        <v>268</v>
      </c>
      <c r="V80" s="5" t="s">
        <v>269</v>
      </c>
      <c r="W80" s="9">
        <v>45428.7600347222</v>
      </c>
      <c r="X80" s="5"/>
      <c r="Y80" s="5"/>
      <c r="Z80" s="5"/>
      <c r="AA80" s="5"/>
      <c r="AB80" s="5">
        <v>45428.7600347222</v>
      </c>
      <c r="AC80" s="5" t="s">
        <v>269</v>
      </c>
    </row>
    <row r="81" s="1" customFormat="1" ht="17.25" customHeight="1" spans="1:29">
      <c r="A81" s="6" t="s">
        <v>659</v>
      </c>
      <c r="B81" s="6" t="s">
        <v>389</v>
      </c>
      <c r="C81" s="6" t="s">
        <v>259</v>
      </c>
      <c r="D81" s="6" t="s">
        <v>27</v>
      </c>
      <c r="E81" s="6"/>
      <c r="F81" s="6" t="s">
        <v>389</v>
      </c>
      <c r="G81" s="6" t="s">
        <v>261</v>
      </c>
      <c r="H81" s="6" t="s">
        <v>660</v>
      </c>
      <c r="I81" s="6" t="s">
        <v>659</v>
      </c>
      <c r="J81" s="6" t="s">
        <v>654</v>
      </c>
      <c r="K81" s="6" t="s">
        <v>655</v>
      </c>
      <c r="L81" s="6" t="s">
        <v>661</v>
      </c>
      <c r="M81" s="6"/>
      <c r="N81" s="6" t="s">
        <v>662</v>
      </c>
      <c r="O81" s="6"/>
      <c r="P81" s="6"/>
      <c r="Q81" s="6" t="s">
        <v>663</v>
      </c>
      <c r="R81" s="6"/>
      <c r="S81" s="6"/>
      <c r="T81" s="6"/>
      <c r="U81" s="6" t="s">
        <v>268</v>
      </c>
      <c r="V81" s="6" t="s">
        <v>269</v>
      </c>
      <c r="W81" s="10">
        <v>45428.7600347222</v>
      </c>
      <c r="X81" s="6"/>
      <c r="Y81" s="6"/>
      <c r="Z81" s="6"/>
      <c r="AA81" s="6"/>
      <c r="AB81" s="6">
        <v>45428.7600347222</v>
      </c>
      <c r="AC81" s="6" t="s">
        <v>269</v>
      </c>
    </row>
    <row r="82" s="1" customFormat="1" ht="17.25" customHeight="1" spans="1:29">
      <c r="A82" s="5" t="s">
        <v>664</v>
      </c>
      <c r="B82" s="5" t="s">
        <v>389</v>
      </c>
      <c r="C82" s="5" t="s">
        <v>259</v>
      </c>
      <c r="D82" s="5" t="s">
        <v>27</v>
      </c>
      <c r="E82" s="5"/>
      <c r="F82" s="5" t="s">
        <v>389</v>
      </c>
      <c r="G82" s="5" t="s">
        <v>261</v>
      </c>
      <c r="H82" s="5" t="s">
        <v>665</v>
      </c>
      <c r="I82" s="5" t="s">
        <v>664</v>
      </c>
      <c r="J82" s="5" t="s">
        <v>654</v>
      </c>
      <c r="K82" s="5" t="s">
        <v>655</v>
      </c>
      <c r="L82" s="5" t="s">
        <v>661</v>
      </c>
      <c r="M82" s="5"/>
      <c r="N82" s="5" t="s">
        <v>666</v>
      </c>
      <c r="O82" s="5"/>
      <c r="P82" s="5"/>
      <c r="Q82" s="5" t="s">
        <v>663</v>
      </c>
      <c r="R82" s="5"/>
      <c r="S82" s="5"/>
      <c r="T82" s="5"/>
      <c r="U82" s="5" t="s">
        <v>268</v>
      </c>
      <c r="V82" s="5" t="s">
        <v>269</v>
      </c>
      <c r="W82" s="9">
        <v>45428.7600347222</v>
      </c>
      <c r="X82" s="5"/>
      <c r="Y82" s="5"/>
      <c r="Z82" s="5"/>
      <c r="AA82" s="5"/>
      <c r="AB82" s="5">
        <v>45428.7600347222</v>
      </c>
      <c r="AC82" s="5" t="s">
        <v>269</v>
      </c>
    </row>
    <row r="83" s="1" customFormat="1" ht="17.25" customHeight="1" spans="1:29">
      <c r="A83" s="6" t="s">
        <v>667</v>
      </c>
      <c r="B83" s="6" t="s">
        <v>389</v>
      </c>
      <c r="C83" s="6" t="s">
        <v>259</v>
      </c>
      <c r="D83" s="6" t="s">
        <v>27</v>
      </c>
      <c r="E83" s="6"/>
      <c r="F83" s="6" t="s">
        <v>389</v>
      </c>
      <c r="G83" s="6" t="s">
        <v>261</v>
      </c>
      <c r="H83" s="6" t="s">
        <v>668</v>
      </c>
      <c r="I83" s="6" t="s">
        <v>667</v>
      </c>
      <c r="J83" s="6" t="s">
        <v>654</v>
      </c>
      <c r="K83" s="6" t="s">
        <v>655</v>
      </c>
      <c r="L83" s="6" t="s">
        <v>669</v>
      </c>
      <c r="M83" s="6"/>
      <c r="N83" s="6" t="s">
        <v>670</v>
      </c>
      <c r="O83" s="6"/>
      <c r="P83" s="6"/>
      <c r="Q83" s="6" t="s">
        <v>671</v>
      </c>
      <c r="R83" s="6"/>
      <c r="S83" s="6"/>
      <c r="T83" s="6"/>
      <c r="U83" s="6" t="s">
        <v>268</v>
      </c>
      <c r="V83" s="6" t="s">
        <v>269</v>
      </c>
      <c r="W83" s="10">
        <v>45428.7600347222</v>
      </c>
      <c r="X83" s="6"/>
      <c r="Y83" s="6"/>
      <c r="Z83" s="6"/>
      <c r="AA83" s="6"/>
      <c r="AB83" s="6">
        <v>45428.7600347222</v>
      </c>
      <c r="AC83" s="6" t="s">
        <v>269</v>
      </c>
    </row>
    <row r="84" s="1" customFormat="1" ht="17.25" customHeight="1" spans="1:29">
      <c r="A84" s="5" t="s">
        <v>672</v>
      </c>
      <c r="B84" s="5" t="s">
        <v>389</v>
      </c>
      <c r="C84" s="5" t="s">
        <v>259</v>
      </c>
      <c r="D84" s="5" t="s">
        <v>27</v>
      </c>
      <c r="E84" s="5"/>
      <c r="F84" s="5" t="s">
        <v>389</v>
      </c>
      <c r="G84" s="5" t="s">
        <v>261</v>
      </c>
      <c r="H84" s="5" t="s">
        <v>673</v>
      </c>
      <c r="I84" s="5" t="s">
        <v>672</v>
      </c>
      <c r="J84" s="5" t="s">
        <v>654</v>
      </c>
      <c r="K84" s="5" t="s">
        <v>655</v>
      </c>
      <c r="L84" s="5" t="s">
        <v>656</v>
      </c>
      <c r="M84" s="5"/>
      <c r="N84" s="5" t="s">
        <v>674</v>
      </c>
      <c r="O84" s="5"/>
      <c r="P84" s="5"/>
      <c r="Q84" s="5" t="s">
        <v>658</v>
      </c>
      <c r="R84" s="5"/>
      <c r="S84" s="5"/>
      <c r="T84" s="5"/>
      <c r="U84" s="5" t="s">
        <v>268</v>
      </c>
      <c r="V84" s="5" t="s">
        <v>269</v>
      </c>
      <c r="W84" s="9">
        <v>45428.7600347222</v>
      </c>
      <c r="X84" s="5"/>
      <c r="Y84" s="5"/>
      <c r="Z84" s="5"/>
      <c r="AA84" s="5"/>
      <c r="AB84" s="5">
        <v>45428.7600347222</v>
      </c>
      <c r="AC84" s="5" t="s">
        <v>269</v>
      </c>
    </row>
    <row r="85" s="1" customFormat="1" ht="17.25" customHeight="1" spans="1:29">
      <c r="A85" s="6" t="s">
        <v>675</v>
      </c>
      <c r="B85" s="6" t="s">
        <v>389</v>
      </c>
      <c r="C85" s="6" t="s">
        <v>259</v>
      </c>
      <c r="D85" s="6" t="s">
        <v>27</v>
      </c>
      <c r="E85" s="6"/>
      <c r="F85" s="6" t="s">
        <v>389</v>
      </c>
      <c r="G85" s="6" t="s">
        <v>261</v>
      </c>
      <c r="H85" s="6" t="s">
        <v>676</v>
      </c>
      <c r="I85" s="6" t="s">
        <v>675</v>
      </c>
      <c r="J85" s="6" t="s">
        <v>338</v>
      </c>
      <c r="K85" s="6" t="s">
        <v>339</v>
      </c>
      <c r="L85" s="6" t="s">
        <v>677</v>
      </c>
      <c r="M85" s="6"/>
      <c r="N85" s="6" t="s">
        <v>678</v>
      </c>
      <c r="O85" s="6"/>
      <c r="P85" s="6"/>
      <c r="Q85" s="6" t="s">
        <v>679</v>
      </c>
      <c r="R85" s="6"/>
      <c r="S85" s="6"/>
      <c r="T85" s="6"/>
      <c r="U85" s="6" t="s">
        <v>268</v>
      </c>
      <c r="V85" s="6" t="s">
        <v>269</v>
      </c>
      <c r="W85" s="10">
        <v>45428.7600347222</v>
      </c>
      <c r="X85" s="6"/>
      <c r="Y85" s="6"/>
      <c r="Z85" s="6"/>
      <c r="AA85" s="6"/>
      <c r="AB85" s="6">
        <v>45428.7600347222</v>
      </c>
      <c r="AC85" s="6" t="s">
        <v>269</v>
      </c>
    </row>
    <row r="86" s="1" customFormat="1" ht="17.25" customHeight="1" spans="1:29">
      <c r="A86" s="5" t="s">
        <v>680</v>
      </c>
      <c r="B86" s="5" t="s">
        <v>389</v>
      </c>
      <c r="C86" s="5" t="s">
        <v>259</v>
      </c>
      <c r="D86" s="5" t="s">
        <v>27</v>
      </c>
      <c r="E86" s="5"/>
      <c r="F86" s="5" t="s">
        <v>389</v>
      </c>
      <c r="G86" s="5" t="s">
        <v>261</v>
      </c>
      <c r="H86" s="5" t="s">
        <v>681</v>
      </c>
      <c r="I86" s="5" t="s">
        <v>680</v>
      </c>
      <c r="J86" s="5" t="s">
        <v>338</v>
      </c>
      <c r="K86" s="5" t="s">
        <v>339</v>
      </c>
      <c r="L86" s="5" t="s">
        <v>682</v>
      </c>
      <c r="M86" s="5"/>
      <c r="N86" s="5" t="s">
        <v>683</v>
      </c>
      <c r="O86" s="5"/>
      <c r="P86" s="5"/>
      <c r="Q86" s="5" t="s">
        <v>684</v>
      </c>
      <c r="R86" s="5"/>
      <c r="S86" s="5"/>
      <c r="T86" s="5"/>
      <c r="U86" s="5" t="s">
        <v>268</v>
      </c>
      <c r="V86" s="5" t="s">
        <v>269</v>
      </c>
      <c r="W86" s="9">
        <v>45428.7600347222</v>
      </c>
      <c r="X86" s="5"/>
      <c r="Y86" s="5"/>
      <c r="Z86" s="5"/>
      <c r="AA86" s="5"/>
      <c r="AB86" s="5">
        <v>45428.7600347222</v>
      </c>
      <c r="AC86" s="5" t="s">
        <v>269</v>
      </c>
    </row>
    <row r="87" s="1" customFormat="1" ht="17.25" customHeight="1" spans="1:29">
      <c r="A87" s="6" t="s">
        <v>685</v>
      </c>
      <c r="B87" s="6" t="s">
        <v>389</v>
      </c>
      <c r="C87" s="6" t="s">
        <v>259</v>
      </c>
      <c r="D87" s="6" t="s">
        <v>27</v>
      </c>
      <c r="E87" s="6"/>
      <c r="F87" s="6" t="s">
        <v>389</v>
      </c>
      <c r="G87" s="6" t="s">
        <v>261</v>
      </c>
      <c r="H87" s="6" t="s">
        <v>686</v>
      </c>
      <c r="I87" s="6" t="s">
        <v>685</v>
      </c>
      <c r="J87" s="6" t="s">
        <v>510</v>
      </c>
      <c r="K87" s="6" t="s">
        <v>511</v>
      </c>
      <c r="L87" s="6" t="s">
        <v>687</v>
      </c>
      <c r="M87" s="6"/>
      <c r="N87" s="6" t="s">
        <v>688</v>
      </c>
      <c r="O87" s="6"/>
      <c r="P87" s="6"/>
      <c r="Q87" s="6" t="s">
        <v>689</v>
      </c>
      <c r="R87" s="6"/>
      <c r="S87" s="6"/>
      <c r="T87" s="6"/>
      <c r="U87" s="6" t="s">
        <v>268</v>
      </c>
      <c r="V87" s="6" t="s">
        <v>269</v>
      </c>
      <c r="W87" s="10">
        <v>45428.7600347222</v>
      </c>
      <c r="X87" s="6"/>
      <c r="Y87" s="6"/>
      <c r="Z87" s="6"/>
      <c r="AA87" s="6"/>
      <c r="AB87" s="6">
        <v>45428.7600347222</v>
      </c>
      <c r="AC87" s="6" t="s">
        <v>269</v>
      </c>
    </row>
    <row r="88" s="1" customFormat="1" ht="17.25" customHeight="1" spans="1:29">
      <c r="A88" s="5" t="s">
        <v>690</v>
      </c>
      <c r="B88" s="5" t="s">
        <v>389</v>
      </c>
      <c r="C88" s="5" t="s">
        <v>259</v>
      </c>
      <c r="D88" s="5" t="s">
        <v>27</v>
      </c>
      <c r="E88" s="5"/>
      <c r="F88" s="5" t="s">
        <v>389</v>
      </c>
      <c r="G88" s="5" t="s">
        <v>261</v>
      </c>
      <c r="H88" s="5" t="s">
        <v>691</v>
      </c>
      <c r="I88" s="5" t="s">
        <v>690</v>
      </c>
      <c r="J88" s="5" t="s">
        <v>283</v>
      </c>
      <c r="K88" s="5" t="s">
        <v>284</v>
      </c>
      <c r="L88" s="5" t="s">
        <v>285</v>
      </c>
      <c r="M88" s="5"/>
      <c r="N88" s="5" t="s">
        <v>692</v>
      </c>
      <c r="O88" s="5"/>
      <c r="P88" s="5"/>
      <c r="Q88" s="5" t="s">
        <v>287</v>
      </c>
      <c r="R88" s="5"/>
      <c r="S88" s="5"/>
      <c r="T88" s="5"/>
      <c r="U88" s="5" t="s">
        <v>268</v>
      </c>
      <c r="V88" s="5" t="s">
        <v>269</v>
      </c>
      <c r="W88" s="9">
        <v>45428.7600347222</v>
      </c>
      <c r="X88" s="5"/>
      <c r="Y88" s="5"/>
      <c r="Z88" s="5"/>
      <c r="AA88" s="5"/>
      <c r="AB88" s="5">
        <v>45428.7600347222</v>
      </c>
      <c r="AC88" s="5" t="s">
        <v>269</v>
      </c>
    </row>
    <row r="89" s="1" customFormat="1" ht="17.25" customHeight="1" spans="1:29">
      <c r="A89" s="6" t="s">
        <v>693</v>
      </c>
      <c r="B89" s="6" t="s">
        <v>389</v>
      </c>
      <c r="C89" s="6" t="s">
        <v>259</v>
      </c>
      <c r="D89" s="6" t="s">
        <v>27</v>
      </c>
      <c r="E89" s="6"/>
      <c r="F89" s="6" t="s">
        <v>389</v>
      </c>
      <c r="G89" s="6" t="s">
        <v>261</v>
      </c>
      <c r="H89" s="6" t="s">
        <v>694</v>
      </c>
      <c r="I89" s="6" t="s">
        <v>693</v>
      </c>
      <c r="J89" s="6" t="s">
        <v>695</v>
      </c>
      <c r="K89" s="6" t="s">
        <v>696</v>
      </c>
      <c r="L89" s="6" t="s">
        <v>697</v>
      </c>
      <c r="M89" s="6"/>
      <c r="N89" s="6" t="s">
        <v>698</v>
      </c>
      <c r="O89" s="6"/>
      <c r="P89" s="6"/>
      <c r="Q89" s="6" t="s">
        <v>699</v>
      </c>
      <c r="R89" s="6"/>
      <c r="S89" s="6"/>
      <c r="T89" s="6"/>
      <c r="U89" s="6" t="s">
        <v>268</v>
      </c>
      <c r="V89" s="6" t="s">
        <v>269</v>
      </c>
      <c r="W89" s="10">
        <v>45428.7600347222</v>
      </c>
      <c r="X89" s="6"/>
      <c r="Y89" s="6"/>
      <c r="Z89" s="6"/>
      <c r="AA89" s="6"/>
      <c r="AB89" s="6">
        <v>45428.7600347222</v>
      </c>
      <c r="AC89" s="6" t="s">
        <v>269</v>
      </c>
    </row>
    <row r="90" s="1" customFormat="1" ht="17.25" customHeight="1" spans="1:29">
      <c r="A90" s="5" t="s">
        <v>700</v>
      </c>
      <c r="B90" s="5" t="s">
        <v>389</v>
      </c>
      <c r="C90" s="5" t="s">
        <v>259</v>
      </c>
      <c r="D90" s="5" t="s">
        <v>27</v>
      </c>
      <c r="E90" s="5"/>
      <c r="F90" s="5" t="s">
        <v>389</v>
      </c>
      <c r="G90" s="5" t="s">
        <v>261</v>
      </c>
      <c r="H90" s="5" t="s">
        <v>701</v>
      </c>
      <c r="I90" s="5" t="s">
        <v>700</v>
      </c>
      <c r="J90" s="5" t="s">
        <v>695</v>
      </c>
      <c r="K90" s="5" t="s">
        <v>696</v>
      </c>
      <c r="L90" s="5" t="s">
        <v>702</v>
      </c>
      <c r="M90" s="5"/>
      <c r="N90" s="5" t="s">
        <v>703</v>
      </c>
      <c r="O90" s="5"/>
      <c r="P90" s="5"/>
      <c r="Q90" s="5" t="s">
        <v>704</v>
      </c>
      <c r="R90" s="5"/>
      <c r="S90" s="5"/>
      <c r="T90" s="5"/>
      <c r="U90" s="5" t="s">
        <v>268</v>
      </c>
      <c r="V90" s="5" t="s">
        <v>269</v>
      </c>
      <c r="W90" s="9">
        <v>45428.7600347222</v>
      </c>
      <c r="X90" s="5"/>
      <c r="Y90" s="5"/>
      <c r="Z90" s="5"/>
      <c r="AA90" s="5"/>
      <c r="AB90" s="5">
        <v>45428.7600347222</v>
      </c>
      <c r="AC90" s="5" t="s">
        <v>269</v>
      </c>
    </row>
    <row r="91" s="1" customFormat="1" ht="17.25" customHeight="1" spans="1:29">
      <c r="A91" s="6" t="s">
        <v>705</v>
      </c>
      <c r="B91" s="6" t="s">
        <v>389</v>
      </c>
      <c r="C91" s="6" t="s">
        <v>259</v>
      </c>
      <c r="D91" s="6" t="s">
        <v>27</v>
      </c>
      <c r="E91" s="6"/>
      <c r="F91" s="6" t="s">
        <v>389</v>
      </c>
      <c r="G91" s="6" t="s">
        <v>261</v>
      </c>
      <c r="H91" s="6" t="s">
        <v>706</v>
      </c>
      <c r="I91" s="6" t="s">
        <v>705</v>
      </c>
      <c r="J91" s="6" t="s">
        <v>695</v>
      </c>
      <c r="K91" s="6" t="s">
        <v>696</v>
      </c>
      <c r="L91" s="6" t="s">
        <v>702</v>
      </c>
      <c r="M91" s="6"/>
      <c r="N91" s="6" t="s">
        <v>707</v>
      </c>
      <c r="O91" s="6"/>
      <c r="P91" s="6"/>
      <c r="Q91" s="6" t="s">
        <v>708</v>
      </c>
      <c r="R91" s="6"/>
      <c r="S91" s="6"/>
      <c r="T91" s="6"/>
      <c r="U91" s="6" t="s">
        <v>268</v>
      </c>
      <c r="V91" s="6" t="s">
        <v>269</v>
      </c>
      <c r="W91" s="10">
        <v>45428.7600347222</v>
      </c>
      <c r="X91" s="6"/>
      <c r="Y91" s="6"/>
      <c r="Z91" s="6"/>
      <c r="AA91" s="6"/>
      <c r="AB91" s="6">
        <v>45428.7600347222</v>
      </c>
      <c r="AC91" s="6" t="s">
        <v>269</v>
      </c>
    </row>
    <row r="92" s="1" customFormat="1" ht="17.25" customHeight="1" spans="1:29">
      <c r="A92" s="5" t="s">
        <v>709</v>
      </c>
      <c r="B92" s="5" t="s">
        <v>389</v>
      </c>
      <c r="C92" s="5" t="s">
        <v>259</v>
      </c>
      <c r="D92" s="5" t="s">
        <v>27</v>
      </c>
      <c r="E92" s="5"/>
      <c r="F92" s="5" t="s">
        <v>389</v>
      </c>
      <c r="G92" s="5" t="s">
        <v>261</v>
      </c>
      <c r="H92" s="5" t="s">
        <v>710</v>
      </c>
      <c r="I92" s="5" t="s">
        <v>709</v>
      </c>
      <c r="J92" s="5" t="s">
        <v>695</v>
      </c>
      <c r="K92" s="5" t="s">
        <v>696</v>
      </c>
      <c r="L92" s="5" t="s">
        <v>702</v>
      </c>
      <c r="M92" s="5"/>
      <c r="N92" s="5" t="s">
        <v>711</v>
      </c>
      <c r="O92" s="5"/>
      <c r="P92" s="5"/>
      <c r="Q92" s="5" t="s">
        <v>708</v>
      </c>
      <c r="R92" s="5"/>
      <c r="S92" s="5"/>
      <c r="T92" s="5"/>
      <c r="U92" s="5" t="s">
        <v>268</v>
      </c>
      <c r="V92" s="5" t="s">
        <v>269</v>
      </c>
      <c r="W92" s="9">
        <v>45428.7600347222</v>
      </c>
      <c r="X92" s="5"/>
      <c r="Y92" s="5"/>
      <c r="Z92" s="5"/>
      <c r="AA92" s="5"/>
      <c r="AB92" s="5">
        <v>45428.7600347222</v>
      </c>
      <c r="AC92" s="5" t="s">
        <v>269</v>
      </c>
    </row>
    <row r="93" s="1" customFormat="1" ht="17.25" customHeight="1" spans="1:29">
      <c r="A93" s="6" t="s">
        <v>712</v>
      </c>
      <c r="B93" s="6" t="s">
        <v>389</v>
      </c>
      <c r="C93" s="6" t="s">
        <v>259</v>
      </c>
      <c r="D93" s="6" t="s">
        <v>27</v>
      </c>
      <c r="E93" s="6"/>
      <c r="F93" s="6" t="s">
        <v>389</v>
      </c>
      <c r="G93" s="6" t="s">
        <v>261</v>
      </c>
      <c r="H93" s="6" t="s">
        <v>713</v>
      </c>
      <c r="I93" s="6" t="s">
        <v>712</v>
      </c>
      <c r="J93" s="6" t="s">
        <v>338</v>
      </c>
      <c r="K93" s="6" t="s">
        <v>339</v>
      </c>
      <c r="L93" s="6" t="s">
        <v>714</v>
      </c>
      <c r="M93" s="6"/>
      <c r="N93" s="6" t="s">
        <v>715</v>
      </c>
      <c r="O93" s="6"/>
      <c r="P93" s="6"/>
      <c r="Q93" s="6" t="s">
        <v>716</v>
      </c>
      <c r="R93" s="6"/>
      <c r="S93" s="6"/>
      <c r="T93" s="6"/>
      <c r="U93" s="6" t="s">
        <v>268</v>
      </c>
      <c r="V93" s="6" t="s">
        <v>269</v>
      </c>
      <c r="W93" s="10">
        <v>45428.7600347222</v>
      </c>
      <c r="X93" s="6"/>
      <c r="Y93" s="6"/>
      <c r="Z93" s="6"/>
      <c r="AA93" s="6"/>
      <c r="AB93" s="6">
        <v>45428.7600347222</v>
      </c>
      <c r="AC93" s="6" t="s">
        <v>269</v>
      </c>
    </row>
    <row r="94" s="1" customFormat="1" ht="17.25" customHeight="1" spans="1:29">
      <c r="A94" s="5" t="s">
        <v>717</v>
      </c>
      <c r="B94" s="5" t="s">
        <v>389</v>
      </c>
      <c r="C94" s="5" t="s">
        <v>259</v>
      </c>
      <c r="D94" s="5" t="s">
        <v>27</v>
      </c>
      <c r="E94" s="5"/>
      <c r="F94" s="5" t="s">
        <v>389</v>
      </c>
      <c r="G94" s="5" t="s">
        <v>261</v>
      </c>
      <c r="H94" s="5" t="s">
        <v>718</v>
      </c>
      <c r="I94" s="5" t="s">
        <v>717</v>
      </c>
      <c r="J94" s="5" t="s">
        <v>331</v>
      </c>
      <c r="K94" s="5" t="s">
        <v>332</v>
      </c>
      <c r="L94" s="5" t="s">
        <v>719</v>
      </c>
      <c r="M94" s="5"/>
      <c r="N94" s="5" t="s">
        <v>720</v>
      </c>
      <c r="O94" s="5"/>
      <c r="P94" s="5"/>
      <c r="Q94" s="5" t="s">
        <v>721</v>
      </c>
      <c r="R94" s="5"/>
      <c r="S94" s="5"/>
      <c r="T94" s="5"/>
      <c r="U94" s="5" t="s">
        <v>268</v>
      </c>
      <c r="V94" s="5" t="s">
        <v>269</v>
      </c>
      <c r="W94" s="9">
        <v>45428.7600347222</v>
      </c>
      <c r="X94" s="5"/>
      <c r="Y94" s="5"/>
      <c r="Z94" s="5"/>
      <c r="AA94" s="5"/>
      <c r="AB94" s="5">
        <v>45428.7600347222</v>
      </c>
      <c r="AC94" s="5" t="s">
        <v>269</v>
      </c>
    </row>
    <row r="95" s="1" customFormat="1" ht="17.25" customHeight="1" spans="1:29">
      <c r="A95" s="6" t="s">
        <v>722</v>
      </c>
      <c r="B95" s="6" t="s">
        <v>389</v>
      </c>
      <c r="C95" s="6" t="s">
        <v>259</v>
      </c>
      <c r="D95" s="6" t="s">
        <v>27</v>
      </c>
      <c r="E95" s="6"/>
      <c r="F95" s="6" t="s">
        <v>389</v>
      </c>
      <c r="G95" s="6" t="s">
        <v>261</v>
      </c>
      <c r="H95" s="6" t="s">
        <v>723</v>
      </c>
      <c r="I95" s="6" t="s">
        <v>722</v>
      </c>
      <c r="J95" s="6" t="s">
        <v>331</v>
      </c>
      <c r="K95" s="6" t="s">
        <v>332</v>
      </c>
      <c r="L95" s="6" t="s">
        <v>719</v>
      </c>
      <c r="M95" s="6"/>
      <c r="N95" s="6" t="s">
        <v>724</v>
      </c>
      <c r="O95" s="6"/>
      <c r="P95" s="6"/>
      <c r="Q95" s="6" t="s">
        <v>721</v>
      </c>
      <c r="R95" s="6"/>
      <c r="S95" s="6"/>
      <c r="T95" s="6"/>
      <c r="U95" s="6" t="s">
        <v>268</v>
      </c>
      <c r="V95" s="6" t="s">
        <v>269</v>
      </c>
      <c r="W95" s="10">
        <v>45428.7600347222</v>
      </c>
      <c r="X95" s="6"/>
      <c r="Y95" s="6"/>
      <c r="Z95" s="6"/>
      <c r="AA95" s="6"/>
      <c r="AB95" s="6">
        <v>45428.7600347222</v>
      </c>
      <c r="AC95" s="6" t="s">
        <v>269</v>
      </c>
    </row>
    <row r="96" s="1" customFormat="1" ht="17.25" customHeight="1" spans="1:29">
      <c r="A96" s="5" t="s">
        <v>725</v>
      </c>
      <c r="B96" s="5" t="s">
        <v>389</v>
      </c>
      <c r="C96" s="5" t="s">
        <v>259</v>
      </c>
      <c r="D96" s="5" t="s">
        <v>27</v>
      </c>
      <c r="E96" s="5"/>
      <c r="F96" s="5" t="s">
        <v>389</v>
      </c>
      <c r="G96" s="5" t="s">
        <v>261</v>
      </c>
      <c r="H96" s="5" t="s">
        <v>726</v>
      </c>
      <c r="I96" s="5" t="s">
        <v>725</v>
      </c>
      <c r="J96" s="5" t="s">
        <v>727</v>
      </c>
      <c r="K96" s="5" t="s">
        <v>728</v>
      </c>
      <c r="L96" s="5" t="s">
        <v>729</v>
      </c>
      <c r="M96" s="5"/>
      <c r="N96" s="5" t="s">
        <v>730</v>
      </c>
      <c r="O96" s="5"/>
      <c r="P96" s="5"/>
      <c r="Q96" s="5" t="s">
        <v>731</v>
      </c>
      <c r="R96" s="5"/>
      <c r="S96" s="5"/>
      <c r="T96" s="5"/>
      <c r="U96" s="5" t="s">
        <v>268</v>
      </c>
      <c r="V96" s="5" t="s">
        <v>269</v>
      </c>
      <c r="W96" s="9">
        <v>45428.7600347222</v>
      </c>
      <c r="X96" s="5"/>
      <c r="Y96" s="5"/>
      <c r="Z96" s="5"/>
      <c r="AA96" s="5"/>
      <c r="AB96" s="5">
        <v>45428.7600347222</v>
      </c>
      <c r="AC96" s="5" t="s">
        <v>269</v>
      </c>
    </row>
    <row r="97" s="1" customFormat="1" ht="17.25" customHeight="1" spans="1:29">
      <c r="A97" s="6" t="s">
        <v>732</v>
      </c>
      <c r="B97" s="6" t="s">
        <v>389</v>
      </c>
      <c r="C97" s="6" t="s">
        <v>259</v>
      </c>
      <c r="D97" s="6" t="s">
        <v>27</v>
      </c>
      <c r="E97" s="6"/>
      <c r="F97" s="6" t="s">
        <v>389</v>
      </c>
      <c r="G97" s="6" t="s">
        <v>261</v>
      </c>
      <c r="H97" s="6" t="s">
        <v>733</v>
      </c>
      <c r="I97" s="6" t="s">
        <v>732</v>
      </c>
      <c r="J97" s="6" t="s">
        <v>364</v>
      </c>
      <c r="K97" s="6" t="s">
        <v>365</v>
      </c>
      <c r="L97" s="6" t="s">
        <v>734</v>
      </c>
      <c r="M97" s="6"/>
      <c r="N97" s="6" t="s">
        <v>735</v>
      </c>
      <c r="O97" s="6"/>
      <c r="P97" s="6"/>
      <c r="Q97" s="6" t="s">
        <v>736</v>
      </c>
      <c r="R97" s="6"/>
      <c r="S97" s="6"/>
      <c r="T97" s="6"/>
      <c r="U97" s="6" t="s">
        <v>268</v>
      </c>
      <c r="V97" s="6" t="s">
        <v>269</v>
      </c>
      <c r="W97" s="10">
        <v>45428.7600347222</v>
      </c>
      <c r="X97" s="6"/>
      <c r="Y97" s="6"/>
      <c r="Z97" s="6"/>
      <c r="AA97" s="6"/>
      <c r="AB97" s="6">
        <v>45428.7600347222</v>
      </c>
      <c r="AC97" s="6" t="s">
        <v>269</v>
      </c>
    </row>
    <row r="98" s="1" customFormat="1" ht="17.25" customHeight="1" spans="1:29">
      <c r="A98" s="5" t="s">
        <v>737</v>
      </c>
      <c r="B98" s="5" t="s">
        <v>389</v>
      </c>
      <c r="C98" s="5" t="s">
        <v>259</v>
      </c>
      <c r="D98" s="5" t="s">
        <v>27</v>
      </c>
      <c r="E98" s="5"/>
      <c r="F98" s="5" t="s">
        <v>389</v>
      </c>
      <c r="G98" s="5" t="s">
        <v>261</v>
      </c>
      <c r="H98" s="5" t="s">
        <v>738</v>
      </c>
      <c r="I98" s="5" t="s">
        <v>737</v>
      </c>
      <c r="J98" s="5" t="s">
        <v>338</v>
      </c>
      <c r="K98" s="5" t="s">
        <v>339</v>
      </c>
      <c r="L98" s="5" t="s">
        <v>739</v>
      </c>
      <c r="M98" s="5"/>
      <c r="N98" s="5" t="s">
        <v>740</v>
      </c>
      <c r="O98" s="5"/>
      <c r="P98" s="5"/>
      <c r="Q98" s="5" t="s">
        <v>741</v>
      </c>
      <c r="R98" s="5"/>
      <c r="S98" s="5"/>
      <c r="T98" s="5"/>
      <c r="U98" s="5" t="s">
        <v>268</v>
      </c>
      <c r="V98" s="5" t="s">
        <v>269</v>
      </c>
      <c r="W98" s="9">
        <v>45428.7600347222</v>
      </c>
      <c r="X98" s="5"/>
      <c r="Y98" s="5"/>
      <c r="Z98" s="5"/>
      <c r="AA98" s="5"/>
      <c r="AB98" s="5">
        <v>45428.7600347222</v>
      </c>
      <c r="AC98" s="5" t="s">
        <v>269</v>
      </c>
    </row>
    <row r="99" s="1" customFormat="1" ht="17.25" customHeight="1" spans="1:29">
      <c r="A99" s="6" t="s">
        <v>742</v>
      </c>
      <c r="B99" s="6" t="s">
        <v>389</v>
      </c>
      <c r="C99" s="6" t="s">
        <v>259</v>
      </c>
      <c r="D99" s="6" t="s">
        <v>27</v>
      </c>
      <c r="E99" s="6"/>
      <c r="F99" s="6" t="s">
        <v>389</v>
      </c>
      <c r="G99" s="6" t="s">
        <v>261</v>
      </c>
      <c r="H99" s="6" t="s">
        <v>743</v>
      </c>
      <c r="I99" s="6" t="s">
        <v>742</v>
      </c>
      <c r="J99" s="6" t="s">
        <v>378</v>
      </c>
      <c r="K99" s="6" t="s">
        <v>379</v>
      </c>
      <c r="L99" s="6" t="s">
        <v>744</v>
      </c>
      <c r="M99" s="6"/>
      <c r="N99" s="6" t="s">
        <v>745</v>
      </c>
      <c r="O99" s="6"/>
      <c r="P99" s="6"/>
      <c r="Q99" s="6" t="s">
        <v>746</v>
      </c>
      <c r="R99" s="6"/>
      <c r="S99" s="6"/>
      <c r="T99" s="6"/>
      <c r="U99" s="6" t="s">
        <v>268</v>
      </c>
      <c r="V99" s="6" t="s">
        <v>269</v>
      </c>
      <c r="W99" s="10">
        <v>45428.7600347222</v>
      </c>
      <c r="X99" s="6"/>
      <c r="Y99" s="6"/>
      <c r="Z99" s="6"/>
      <c r="AA99" s="6"/>
      <c r="AB99" s="6">
        <v>45428.7600347222</v>
      </c>
      <c r="AC99" s="6" t="s">
        <v>269</v>
      </c>
    </row>
    <row r="100" s="1" customFormat="1" ht="17.25" customHeight="1" spans="1:29">
      <c r="A100" s="5" t="s">
        <v>747</v>
      </c>
      <c r="B100" s="5" t="s">
        <v>389</v>
      </c>
      <c r="C100" s="5" t="s">
        <v>259</v>
      </c>
      <c r="D100" s="5" t="s">
        <v>27</v>
      </c>
      <c r="E100" s="5"/>
      <c r="F100" s="5" t="s">
        <v>389</v>
      </c>
      <c r="G100" s="5" t="s">
        <v>261</v>
      </c>
      <c r="H100" s="5" t="s">
        <v>748</v>
      </c>
      <c r="I100" s="5" t="s">
        <v>747</v>
      </c>
      <c r="J100" s="5" t="s">
        <v>378</v>
      </c>
      <c r="K100" s="5" t="s">
        <v>379</v>
      </c>
      <c r="L100" s="5" t="s">
        <v>744</v>
      </c>
      <c r="M100" s="5"/>
      <c r="N100" s="5" t="s">
        <v>749</v>
      </c>
      <c r="O100" s="5"/>
      <c r="P100" s="5"/>
      <c r="Q100" s="5" t="s">
        <v>746</v>
      </c>
      <c r="R100" s="5"/>
      <c r="S100" s="5"/>
      <c r="T100" s="5"/>
      <c r="U100" s="5" t="s">
        <v>268</v>
      </c>
      <c r="V100" s="5" t="s">
        <v>269</v>
      </c>
      <c r="W100" s="9">
        <v>45428.7600347222</v>
      </c>
      <c r="X100" s="5"/>
      <c r="Y100" s="5"/>
      <c r="Z100" s="5"/>
      <c r="AA100" s="5"/>
      <c r="AB100" s="5">
        <v>45428.7600347222</v>
      </c>
      <c r="AC100" s="5" t="s">
        <v>269</v>
      </c>
    </row>
    <row r="101" s="1" customFormat="1" ht="17.25" customHeight="1" spans="1:29">
      <c r="A101" s="6" t="s">
        <v>750</v>
      </c>
      <c r="B101" s="6" t="s">
        <v>389</v>
      </c>
      <c r="C101" s="6" t="s">
        <v>259</v>
      </c>
      <c r="D101" s="6" t="s">
        <v>27</v>
      </c>
      <c r="E101" s="6"/>
      <c r="F101" s="6" t="s">
        <v>389</v>
      </c>
      <c r="G101" s="6" t="s">
        <v>261</v>
      </c>
      <c r="H101" s="6" t="s">
        <v>751</v>
      </c>
      <c r="I101" s="6" t="s">
        <v>750</v>
      </c>
      <c r="J101" s="6" t="s">
        <v>378</v>
      </c>
      <c r="K101" s="6" t="s">
        <v>379</v>
      </c>
      <c r="L101" s="6" t="s">
        <v>752</v>
      </c>
      <c r="M101" s="6"/>
      <c r="N101" s="6" t="s">
        <v>753</v>
      </c>
      <c r="O101" s="6"/>
      <c r="P101" s="6"/>
      <c r="Q101" s="6" t="s">
        <v>754</v>
      </c>
      <c r="R101" s="6"/>
      <c r="S101" s="6"/>
      <c r="T101" s="6"/>
      <c r="U101" s="6" t="s">
        <v>268</v>
      </c>
      <c r="V101" s="6" t="s">
        <v>269</v>
      </c>
      <c r="W101" s="10">
        <v>45428.7600347222</v>
      </c>
      <c r="X101" s="6"/>
      <c r="Y101" s="6"/>
      <c r="Z101" s="6"/>
      <c r="AA101" s="6"/>
      <c r="AB101" s="6">
        <v>45428.7600347222</v>
      </c>
      <c r="AC101" s="6" t="s">
        <v>269</v>
      </c>
    </row>
    <row r="102" s="1" customFormat="1" ht="17.25" customHeight="1" spans="1:29">
      <c r="A102" s="5" t="s">
        <v>755</v>
      </c>
      <c r="B102" s="5" t="s">
        <v>389</v>
      </c>
      <c r="C102" s="5" t="s">
        <v>259</v>
      </c>
      <c r="D102" s="5" t="s">
        <v>27</v>
      </c>
      <c r="E102" s="5"/>
      <c r="F102" s="5" t="s">
        <v>389</v>
      </c>
      <c r="G102" s="5" t="s">
        <v>261</v>
      </c>
      <c r="H102" s="5" t="s">
        <v>756</v>
      </c>
      <c r="I102" s="5" t="s">
        <v>755</v>
      </c>
      <c r="J102" s="5" t="s">
        <v>378</v>
      </c>
      <c r="K102" s="5" t="s">
        <v>379</v>
      </c>
      <c r="L102" s="5" t="s">
        <v>757</v>
      </c>
      <c r="M102" s="5"/>
      <c r="N102" s="5" t="s">
        <v>758</v>
      </c>
      <c r="O102" s="5"/>
      <c r="P102" s="5"/>
      <c r="Q102" s="5" t="s">
        <v>759</v>
      </c>
      <c r="R102" s="5"/>
      <c r="S102" s="5"/>
      <c r="T102" s="5"/>
      <c r="U102" s="5" t="s">
        <v>268</v>
      </c>
      <c r="V102" s="5" t="s">
        <v>269</v>
      </c>
      <c r="W102" s="9">
        <v>45428.7600347222</v>
      </c>
      <c r="X102" s="5"/>
      <c r="Y102" s="5"/>
      <c r="Z102" s="5"/>
      <c r="AA102" s="5"/>
      <c r="AB102" s="5">
        <v>45428.7600347222</v>
      </c>
      <c r="AC102" s="5" t="s">
        <v>269</v>
      </c>
    </row>
    <row r="103" s="1" customFormat="1" ht="17.25" customHeight="1" spans="1:29">
      <c r="A103" s="6" t="s">
        <v>760</v>
      </c>
      <c r="B103" s="6" t="s">
        <v>389</v>
      </c>
      <c r="C103" s="6" t="s">
        <v>259</v>
      </c>
      <c r="D103" s="6" t="s">
        <v>27</v>
      </c>
      <c r="E103" s="6"/>
      <c r="F103" s="6" t="s">
        <v>389</v>
      </c>
      <c r="G103" s="6" t="s">
        <v>261</v>
      </c>
      <c r="H103" s="6" t="s">
        <v>761</v>
      </c>
      <c r="I103" s="6" t="s">
        <v>760</v>
      </c>
      <c r="J103" s="6" t="s">
        <v>364</v>
      </c>
      <c r="K103" s="6" t="s">
        <v>365</v>
      </c>
      <c r="L103" s="6" t="s">
        <v>762</v>
      </c>
      <c r="M103" s="6"/>
      <c r="N103" s="6" t="s">
        <v>763</v>
      </c>
      <c r="O103" s="6"/>
      <c r="P103" s="6"/>
      <c r="Q103" s="6" t="s">
        <v>764</v>
      </c>
      <c r="R103" s="6"/>
      <c r="S103" s="6"/>
      <c r="T103" s="6"/>
      <c r="U103" s="6" t="s">
        <v>268</v>
      </c>
      <c r="V103" s="6" t="s">
        <v>269</v>
      </c>
      <c r="W103" s="10">
        <v>45450.7495138889</v>
      </c>
      <c r="X103" s="6"/>
      <c r="Y103" s="6"/>
      <c r="Z103" s="6"/>
      <c r="AA103" s="6"/>
      <c r="AB103" s="6">
        <v>45428.7600347222</v>
      </c>
      <c r="AC103" s="6" t="s">
        <v>270</v>
      </c>
    </row>
    <row r="104" s="1" customFormat="1" ht="17.25" customHeight="1" spans="1:29">
      <c r="A104" s="5" t="s">
        <v>765</v>
      </c>
      <c r="B104" s="5" t="s">
        <v>389</v>
      </c>
      <c r="C104" s="5" t="s">
        <v>259</v>
      </c>
      <c r="D104" s="5" t="s">
        <v>27</v>
      </c>
      <c r="E104" s="5"/>
      <c r="F104" s="5" t="s">
        <v>389</v>
      </c>
      <c r="G104" s="5" t="s">
        <v>261</v>
      </c>
      <c r="H104" s="5" t="s">
        <v>766</v>
      </c>
      <c r="I104" s="5" t="s">
        <v>765</v>
      </c>
      <c r="J104" s="5" t="s">
        <v>364</v>
      </c>
      <c r="K104" s="5" t="s">
        <v>365</v>
      </c>
      <c r="L104" s="5" t="s">
        <v>762</v>
      </c>
      <c r="M104" s="5"/>
      <c r="N104" s="5" t="s">
        <v>767</v>
      </c>
      <c r="O104" s="5"/>
      <c r="P104" s="5"/>
      <c r="Q104" s="5" t="s">
        <v>764</v>
      </c>
      <c r="R104" s="5"/>
      <c r="S104" s="5"/>
      <c r="T104" s="5"/>
      <c r="U104" s="5" t="s">
        <v>268</v>
      </c>
      <c r="V104" s="5" t="s">
        <v>269</v>
      </c>
      <c r="W104" s="9">
        <v>45428.7600347222</v>
      </c>
      <c r="X104" s="5"/>
      <c r="Y104" s="5"/>
      <c r="Z104" s="5"/>
      <c r="AA104" s="5"/>
      <c r="AB104" s="5">
        <v>45428.7600347222</v>
      </c>
      <c r="AC104" s="5" t="s">
        <v>269</v>
      </c>
    </row>
    <row r="105" s="1" customFormat="1" ht="17.25" customHeight="1" spans="1:29">
      <c r="A105" s="6" t="s">
        <v>768</v>
      </c>
      <c r="B105" s="6" t="s">
        <v>389</v>
      </c>
      <c r="C105" s="6" t="s">
        <v>259</v>
      </c>
      <c r="D105" s="6" t="s">
        <v>27</v>
      </c>
      <c r="E105" s="6"/>
      <c r="F105" s="6" t="s">
        <v>389</v>
      </c>
      <c r="G105" s="6" t="s">
        <v>261</v>
      </c>
      <c r="H105" s="6" t="s">
        <v>769</v>
      </c>
      <c r="I105" s="6" t="s">
        <v>768</v>
      </c>
      <c r="J105" s="6" t="s">
        <v>364</v>
      </c>
      <c r="K105" s="6" t="s">
        <v>365</v>
      </c>
      <c r="L105" s="6" t="s">
        <v>762</v>
      </c>
      <c r="M105" s="6"/>
      <c r="N105" s="6" t="s">
        <v>763</v>
      </c>
      <c r="O105" s="6"/>
      <c r="P105" s="6"/>
      <c r="Q105" s="6" t="s">
        <v>764</v>
      </c>
      <c r="R105" s="6"/>
      <c r="S105" s="6"/>
      <c r="T105" s="6"/>
      <c r="U105" s="6" t="s">
        <v>268</v>
      </c>
      <c r="V105" s="6" t="s">
        <v>269</v>
      </c>
      <c r="W105" s="10">
        <v>45428.7600347222</v>
      </c>
      <c r="X105" s="6"/>
      <c r="Y105" s="6"/>
      <c r="Z105" s="6"/>
      <c r="AA105" s="6"/>
      <c r="AB105" s="6">
        <v>45428.7600347222</v>
      </c>
      <c r="AC105" s="6" t="s">
        <v>269</v>
      </c>
    </row>
    <row r="106" s="1" customFormat="1" ht="17.25" customHeight="1" spans="1:29">
      <c r="A106" s="5" t="s">
        <v>770</v>
      </c>
      <c r="B106" s="5" t="s">
        <v>389</v>
      </c>
      <c r="C106" s="5" t="s">
        <v>259</v>
      </c>
      <c r="D106" s="5" t="s">
        <v>27</v>
      </c>
      <c r="E106" s="5"/>
      <c r="F106" s="5" t="s">
        <v>389</v>
      </c>
      <c r="G106" s="5" t="s">
        <v>261</v>
      </c>
      <c r="H106" s="5" t="s">
        <v>771</v>
      </c>
      <c r="I106" s="5" t="s">
        <v>770</v>
      </c>
      <c r="J106" s="5" t="s">
        <v>364</v>
      </c>
      <c r="K106" s="5" t="s">
        <v>365</v>
      </c>
      <c r="L106" s="5" t="s">
        <v>772</v>
      </c>
      <c r="M106" s="5"/>
      <c r="N106" s="5" t="s">
        <v>773</v>
      </c>
      <c r="O106" s="5"/>
      <c r="P106" s="5"/>
      <c r="Q106" s="5" t="s">
        <v>774</v>
      </c>
      <c r="R106" s="5"/>
      <c r="S106" s="5"/>
      <c r="T106" s="5"/>
      <c r="U106" s="5" t="s">
        <v>268</v>
      </c>
      <c r="V106" s="5" t="s">
        <v>269</v>
      </c>
      <c r="W106" s="9">
        <v>45428.7600347222</v>
      </c>
      <c r="X106" s="5"/>
      <c r="Y106" s="5"/>
      <c r="Z106" s="5"/>
      <c r="AA106" s="5"/>
      <c r="AB106" s="5">
        <v>45428.7600347222</v>
      </c>
      <c r="AC106" s="5" t="s">
        <v>269</v>
      </c>
    </row>
    <row r="107" s="1" customFormat="1" ht="17.25" customHeight="1" spans="1:29">
      <c r="A107" s="6" t="s">
        <v>775</v>
      </c>
      <c r="B107" s="6" t="s">
        <v>389</v>
      </c>
      <c r="C107" s="6" t="s">
        <v>259</v>
      </c>
      <c r="D107" s="6" t="s">
        <v>27</v>
      </c>
      <c r="E107" s="6"/>
      <c r="F107" s="6" t="s">
        <v>389</v>
      </c>
      <c r="G107" s="6" t="s">
        <v>261</v>
      </c>
      <c r="H107" s="6" t="s">
        <v>776</v>
      </c>
      <c r="I107" s="6" t="s">
        <v>775</v>
      </c>
      <c r="J107" s="6" t="s">
        <v>364</v>
      </c>
      <c r="K107" s="6" t="s">
        <v>365</v>
      </c>
      <c r="L107" s="6" t="s">
        <v>777</v>
      </c>
      <c r="M107" s="6"/>
      <c r="N107" s="6" t="s">
        <v>778</v>
      </c>
      <c r="O107" s="6"/>
      <c r="P107" s="6"/>
      <c r="Q107" s="6" t="s">
        <v>779</v>
      </c>
      <c r="R107" s="6"/>
      <c r="S107" s="6"/>
      <c r="T107" s="6"/>
      <c r="U107" s="6" t="s">
        <v>268</v>
      </c>
      <c r="V107" s="6" t="s">
        <v>269</v>
      </c>
      <c r="W107" s="10">
        <v>45428.7600347222</v>
      </c>
      <c r="X107" s="6"/>
      <c r="Y107" s="6"/>
      <c r="Z107" s="6"/>
      <c r="AA107" s="6"/>
      <c r="AB107" s="6">
        <v>45428.7600347222</v>
      </c>
      <c r="AC107" s="6" t="s">
        <v>269</v>
      </c>
    </row>
    <row r="108" s="1" customFormat="1" ht="17.25" customHeight="1" spans="1:29">
      <c r="A108" s="5" t="s">
        <v>780</v>
      </c>
      <c r="B108" s="5" t="s">
        <v>389</v>
      </c>
      <c r="C108" s="5" t="s">
        <v>259</v>
      </c>
      <c r="D108" s="5" t="s">
        <v>27</v>
      </c>
      <c r="E108" s="5"/>
      <c r="F108" s="5" t="s">
        <v>389</v>
      </c>
      <c r="G108" s="5" t="s">
        <v>261</v>
      </c>
      <c r="H108" s="5" t="s">
        <v>781</v>
      </c>
      <c r="I108" s="5" t="s">
        <v>780</v>
      </c>
      <c r="J108" s="5" t="s">
        <v>297</v>
      </c>
      <c r="K108" s="5" t="s">
        <v>298</v>
      </c>
      <c r="L108" s="5" t="s">
        <v>782</v>
      </c>
      <c r="M108" s="5"/>
      <c r="N108" s="5" t="s">
        <v>783</v>
      </c>
      <c r="O108" s="5"/>
      <c r="P108" s="5"/>
      <c r="Q108" s="5" t="s">
        <v>784</v>
      </c>
      <c r="R108" s="5"/>
      <c r="S108" s="5"/>
      <c r="T108" s="5"/>
      <c r="U108" s="5" t="s">
        <v>268</v>
      </c>
      <c r="V108" s="5" t="s">
        <v>269</v>
      </c>
      <c r="W108" s="9">
        <v>45428.7600347222</v>
      </c>
      <c r="X108" s="5"/>
      <c r="Y108" s="5"/>
      <c r="Z108" s="5"/>
      <c r="AA108" s="5"/>
      <c r="AB108" s="5">
        <v>45428.7600347222</v>
      </c>
      <c r="AC108" s="5" t="s">
        <v>269</v>
      </c>
    </row>
    <row r="109" s="1" customFormat="1" ht="17.25" customHeight="1" spans="1:29">
      <c r="A109" s="6" t="s">
        <v>785</v>
      </c>
      <c r="B109" s="6" t="s">
        <v>389</v>
      </c>
      <c r="C109" s="6" t="s">
        <v>259</v>
      </c>
      <c r="D109" s="6" t="s">
        <v>27</v>
      </c>
      <c r="E109" s="6"/>
      <c r="F109" s="6" t="s">
        <v>389</v>
      </c>
      <c r="G109" s="6" t="s">
        <v>261</v>
      </c>
      <c r="H109" s="6" t="s">
        <v>786</v>
      </c>
      <c r="I109" s="6" t="s">
        <v>785</v>
      </c>
      <c r="J109" s="6" t="s">
        <v>290</v>
      </c>
      <c r="K109" s="6" t="s">
        <v>291</v>
      </c>
      <c r="L109" s="6" t="s">
        <v>787</v>
      </c>
      <c r="M109" s="6"/>
      <c r="N109" s="6" t="s">
        <v>788</v>
      </c>
      <c r="O109" s="6"/>
      <c r="P109" s="6"/>
      <c r="Q109" s="6" t="s">
        <v>789</v>
      </c>
      <c r="R109" s="6"/>
      <c r="S109" s="6"/>
      <c r="T109" s="6"/>
      <c r="U109" s="6" t="s">
        <v>268</v>
      </c>
      <c r="V109" s="6" t="s">
        <v>269</v>
      </c>
      <c r="W109" s="10">
        <v>45428.7600347222</v>
      </c>
      <c r="X109" s="6"/>
      <c r="Y109" s="6"/>
      <c r="Z109" s="6"/>
      <c r="AA109" s="6"/>
      <c r="AB109" s="6">
        <v>45428.7600347222</v>
      </c>
      <c r="AC109" s="6" t="s">
        <v>269</v>
      </c>
    </row>
    <row r="110" s="1" customFormat="1" ht="17.25" customHeight="1" spans="1:29">
      <c r="A110" s="5" t="s">
        <v>790</v>
      </c>
      <c r="B110" s="5" t="s">
        <v>389</v>
      </c>
      <c r="C110" s="5" t="s">
        <v>259</v>
      </c>
      <c r="D110" s="5" t="s">
        <v>27</v>
      </c>
      <c r="E110" s="5"/>
      <c r="F110" s="5" t="s">
        <v>389</v>
      </c>
      <c r="G110" s="5" t="s">
        <v>261</v>
      </c>
      <c r="H110" s="5" t="s">
        <v>791</v>
      </c>
      <c r="I110" s="5" t="s">
        <v>790</v>
      </c>
      <c r="J110" s="5" t="s">
        <v>290</v>
      </c>
      <c r="K110" s="5" t="s">
        <v>291</v>
      </c>
      <c r="L110" s="5" t="s">
        <v>792</v>
      </c>
      <c r="M110" s="5"/>
      <c r="N110" s="5" t="s">
        <v>793</v>
      </c>
      <c r="O110" s="5"/>
      <c r="P110" s="5"/>
      <c r="Q110" s="5" t="s">
        <v>794</v>
      </c>
      <c r="R110" s="5"/>
      <c r="S110" s="5"/>
      <c r="T110" s="5"/>
      <c r="U110" s="5" t="s">
        <v>268</v>
      </c>
      <c r="V110" s="5" t="s">
        <v>269</v>
      </c>
      <c r="W110" s="9">
        <v>45428.7600347222</v>
      </c>
      <c r="X110" s="5"/>
      <c r="Y110" s="5"/>
      <c r="Z110" s="5"/>
      <c r="AA110" s="5"/>
      <c r="AB110" s="5">
        <v>45428.7600347222</v>
      </c>
      <c r="AC110" s="5" t="s">
        <v>269</v>
      </c>
    </row>
    <row r="111" s="1" customFormat="1" ht="17.25" customHeight="1" spans="1:29">
      <c r="A111" s="6" t="s">
        <v>795</v>
      </c>
      <c r="B111" s="6" t="s">
        <v>389</v>
      </c>
      <c r="C111" s="6" t="s">
        <v>259</v>
      </c>
      <c r="D111" s="6" t="s">
        <v>27</v>
      </c>
      <c r="E111" s="6"/>
      <c r="F111" s="6" t="s">
        <v>389</v>
      </c>
      <c r="G111" s="6" t="s">
        <v>261</v>
      </c>
      <c r="H111" s="6" t="s">
        <v>796</v>
      </c>
      <c r="I111" s="6" t="s">
        <v>795</v>
      </c>
      <c r="J111" s="6" t="s">
        <v>797</v>
      </c>
      <c r="K111" s="6" t="s">
        <v>798</v>
      </c>
      <c r="L111" s="6" t="s">
        <v>799</v>
      </c>
      <c r="M111" s="6"/>
      <c r="N111" s="6" t="s">
        <v>800</v>
      </c>
      <c r="O111" s="6"/>
      <c r="P111" s="6"/>
      <c r="Q111" s="6" t="s">
        <v>801</v>
      </c>
      <c r="R111" s="6"/>
      <c r="S111" s="6"/>
      <c r="T111" s="6"/>
      <c r="U111" s="6" t="s">
        <v>268</v>
      </c>
      <c r="V111" s="6" t="s">
        <v>269</v>
      </c>
      <c r="W111" s="10">
        <v>45428.7600347222</v>
      </c>
      <c r="X111" s="6"/>
      <c r="Y111" s="6"/>
      <c r="Z111" s="6"/>
      <c r="AA111" s="6"/>
      <c r="AB111" s="6">
        <v>45428.7600347222</v>
      </c>
      <c r="AC111" s="6" t="s">
        <v>269</v>
      </c>
    </row>
    <row r="112" s="1" customFormat="1" ht="17.25" customHeight="1" spans="1:29">
      <c r="A112" s="5" t="s">
        <v>802</v>
      </c>
      <c r="B112" s="5" t="s">
        <v>389</v>
      </c>
      <c r="C112" s="5" t="s">
        <v>259</v>
      </c>
      <c r="D112" s="5" t="s">
        <v>27</v>
      </c>
      <c r="E112" s="5"/>
      <c r="F112" s="5" t="s">
        <v>389</v>
      </c>
      <c r="G112" s="5" t="s">
        <v>261</v>
      </c>
      <c r="H112" s="5" t="s">
        <v>803</v>
      </c>
      <c r="I112" s="5" t="s">
        <v>802</v>
      </c>
      <c r="J112" s="5" t="s">
        <v>297</v>
      </c>
      <c r="K112" s="5" t="s">
        <v>298</v>
      </c>
      <c r="L112" s="5" t="s">
        <v>804</v>
      </c>
      <c r="M112" s="5"/>
      <c r="N112" s="5" t="s">
        <v>805</v>
      </c>
      <c r="O112" s="5"/>
      <c r="P112" s="5"/>
      <c r="Q112" s="5" t="s">
        <v>806</v>
      </c>
      <c r="R112" s="5"/>
      <c r="S112" s="5"/>
      <c r="T112" s="5"/>
      <c r="U112" s="5" t="s">
        <v>268</v>
      </c>
      <c r="V112" s="5" t="s">
        <v>269</v>
      </c>
      <c r="W112" s="9">
        <v>45428.7600347222</v>
      </c>
      <c r="X112" s="5"/>
      <c r="Y112" s="5"/>
      <c r="Z112" s="5"/>
      <c r="AA112" s="5"/>
      <c r="AB112" s="5">
        <v>45428.7600347222</v>
      </c>
      <c r="AC112" s="5" t="s">
        <v>269</v>
      </c>
    </row>
    <row r="113" s="1" customFormat="1" ht="17.25" customHeight="1" spans="1:29">
      <c r="A113" s="6" t="s">
        <v>807</v>
      </c>
      <c r="B113" s="6" t="s">
        <v>389</v>
      </c>
      <c r="C113" s="6" t="s">
        <v>259</v>
      </c>
      <c r="D113" s="6" t="s">
        <v>27</v>
      </c>
      <c r="E113" s="6"/>
      <c r="F113" s="6" t="s">
        <v>389</v>
      </c>
      <c r="G113" s="6" t="s">
        <v>261</v>
      </c>
      <c r="H113" s="6" t="s">
        <v>808</v>
      </c>
      <c r="I113" s="6" t="s">
        <v>807</v>
      </c>
      <c r="J113" s="6" t="s">
        <v>809</v>
      </c>
      <c r="K113" s="6"/>
      <c r="L113" s="6" t="s">
        <v>810</v>
      </c>
      <c r="M113" s="6"/>
      <c r="N113" s="6" t="s">
        <v>811</v>
      </c>
      <c r="O113" s="6"/>
      <c r="P113" s="6"/>
      <c r="Q113" s="6" t="s">
        <v>812</v>
      </c>
      <c r="R113" s="6"/>
      <c r="S113" s="6"/>
      <c r="T113" s="6"/>
      <c r="U113" s="6" t="s">
        <v>268</v>
      </c>
      <c r="V113" s="6" t="s">
        <v>269</v>
      </c>
      <c r="W113" s="10">
        <v>45428.7600347222</v>
      </c>
      <c r="X113" s="6"/>
      <c r="Y113" s="6"/>
      <c r="Z113" s="6"/>
      <c r="AA113" s="6"/>
      <c r="AB113" s="6">
        <v>45428.7600347222</v>
      </c>
      <c r="AC113" s="6" t="s">
        <v>269</v>
      </c>
    </row>
    <row r="114" s="1" customFormat="1" ht="17.25" customHeight="1" spans="1:29">
      <c r="A114" s="5" t="s">
        <v>813</v>
      </c>
      <c r="B114" s="5" t="s">
        <v>389</v>
      </c>
      <c r="C114" s="5" t="s">
        <v>259</v>
      </c>
      <c r="D114" s="5" t="s">
        <v>27</v>
      </c>
      <c r="E114" s="5"/>
      <c r="F114" s="5" t="s">
        <v>389</v>
      </c>
      <c r="G114" s="5" t="s">
        <v>261</v>
      </c>
      <c r="H114" s="5" t="s">
        <v>814</v>
      </c>
      <c r="I114" s="5" t="s">
        <v>813</v>
      </c>
      <c r="J114" s="5" t="s">
        <v>263</v>
      </c>
      <c r="K114" s="5" t="s">
        <v>264</v>
      </c>
      <c r="L114" s="5" t="s">
        <v>815</v>
      </c>
      <c r="M114" s="5"/>
      <c r="N114" s="5" t="s">
        <v>816</v>
      </c>
      <c r="O114" s="5"/>
      <c r="P114" s="5"/>
      <c r="Q114" s="5" t="s">
        <v>817</v>
      </c>
      <c r="R114" s="5"/>
      <c r="S114" s="5"/>
      <c r="T114" s="5"/>
      <c r="U114" s="5" t="s">
        <v>268</v>
      </c>
      <c r="V114" s="5" t="s">
        <v>269</v>
      </c>
      <c r="W114" s="9">
        <v>45428.7600347222</v>
      </c>
      <c r="X114" s="5"/>
      <c r="Y114" s="5"/>
      <c r="Z114" s="5"/>
      <c r="AA114" s="5"/>
      <c r="AB114" s="5">
        <v>45428.7600347222</v>
      </c>
      <c r="AC114" s="5" t="s">
        <v>269</v>
      </c>
    </row>
    <row r="115" s="1" customFormat="1" ht="17.25" customHeight="1" spans="1:29">
      <c r="A115" s="6" t="s">
        <v>818</v>
      </c>
      <c r="B115" s="6" t="s">
        <v>389</v>
      </c>
      <c r="C115" s="6" t="s">
        <v>259</v>
      </c>
      <c r="D115" s="6" t="s">
        <v>27</v>
      </c>
      <c r="E115" s="6"/>
      <c r="F115" s="6" t="s">
        <v>389</v>
      </c>
      <c r="G115" s="6" t="s">
        <v>261</v>
      </c>
      <c r="H115" s="6" t="s">
        <v>819</v>
      </c>
      <c r="I115" s="6" t="s">
        <v>818</v>
      </c>
      <c r="J115" s="6" t="s">
        <v>263</v>
      </c>
      <c r="K115" s="6" t="s">
        <v>264</v>
      </c>
      <c r="L115" s="6" t="s">
        <v>820</v>
      </c>
      <c r="M115" s="6"/>
      <c r="N115" s="6" t="s">
        <v>821</v>
      </c>
      <c r="O115" s="6"/>
      <c r="P115" s="6"/>
      <c r="Q115" s="6" t="s">
        <v>822</v>
      </c>
      <c r="R115" s="6"/>
      <c r="S115" s="6"/>
      <c r="T115" s="6"/>
      <c r="U115" s="6" t="s">
        <v>268</v>
      </c>
      <c r="V115" s="6" t="s">
        <v>269</v>
      </c>
      <c r="W115" s="10">
        <v>45428.7600347222</v>
      </c>
      <c r="X115" s="6"/>
      <c r="Y115" s="6"/>
      <c r="Z115" s="6"/>
      <c r="AA115" s="6"/>
      <c r="AB115" s="6">
        <v>45428.7600347222</v>
      </c>
      <c r="AC115" s="6" t="s">
        <v>269</v>
      </c>
    </row>
    <row r="116" s="1" customFormat="1" ht="17.25" customHeight="1" spans="1:29">
      <c r="A116" s="5" t="s">
        <v>823</v>
      </c>
      <c r="B116" s="5" t="s">
        <v>389</v>
      </c>
      <c r="C116" s="5" t="s">
        <v>259</v>
      </c>
      <c r="D116" s="5" t="s">
        <v>27</v>
      </c>
      <c r="E116" s="5"/>
      <c r="F116" s="5" t="s">
        <v>389</v>
      </c>
      <c r="G116" s="5" t="s">
        <v>261</v>
      </c>
      <c r="H116" s="5" t="s">
        <v>824</v>
      </c>
      <c r="I116" s="5" t="s">
        <v>823</v>
      </c>
      <c r="J116" s="5" t="s">
        <v>263</v>
      </c>
      <c r="K116" s="5" t="s">
        <v>264</v>
      </c>
      <c r="L116" s="5" t="s">
        <v>825</v>
      </c>
      <c r="M116" s="5"/>
      <c r="N116" s="5" t="s">
        <v>826</v>
      </c>
      <c r="O116" s="5"/>
      <c r="P116" s="5"/>
      <c r="Q116" s="5" t="s">
        <v>827</v>
      </c>
      <c r="R116" s="5"/>
      <c r="S116" s="5"/>
      <c r="T116" s="5"/>
      <c r="U116" s="5" t="s">
        <v>268</v>
      </c>
      <c r="V116" s="5" t="s">
        <v>269</v>
      </c>
      <c r="W116" s="9">
        <v>45428.7600347222</v>
      </c>
      <c r="X116" s="5"/>
      <c r="Y116" s="5"/>
      <c r="Z116" s="5"/>
      <c r="AA116" s="5"/>
      <c r="AB116" s="5">
        <v>45428.7600347222</v>
      </c>
      <c r="AC116" s="5" t="s">
        <v>269</v>
      </c>
    </row>
    <row r="117" s="1" customFormat="1" ht="17.25" customHeight="1" spans="1:29">
      <c r="A117" s="6" t="s">
        <v>828</v>
      </c>
      <c r="B117" s="6" t="s">
        <v>389</v>
      </c>
      <c r="C117" s="6" t="s">
        <v>259</v>
      </c>
      <c r="D117" s="6" t="s">
        <v>27</v>
      </c>
      <c r="E117" s="6"/>
      <c r="F117" s="6" t="s">
        <v>389</v>
      </c>
      <c r="G117" s="6" t="s">
        <v>261</v>
      </c>
      <c r="H117" s="6" t="s">
        <v>829</v>
      </c>
      <c r="I117" s="6" t="s">
        <v>828</v>
      </c>
      <c r="J117" s="6" t="s">
        <v>304</v>
      </c>
      <c r="K117" s="6" t="s">
        <v>305</v>
      </c>
      <c r="L117" s="6" t="s">
        <v>830</v>
      </c>
      <c r="M117" s="6"/>
      <c r="N117" s="6" t="s">
        <v>831</v>
      </c>
      <c r="O117" s="6"/>
      <c r="P117" s="6"/>
      <c r="Q117" s="6" t="s">
        <v>832</v>
      </c>
      <c r="R117" s="6"/>
      <c r="S117" s="6"/>
      <c r="T117" s="6"/>
      <c r="U117" s="6" t="s">
        <v>268</v>
      </c>
      <c r="V117" s="6" t="s">
        <v>269</v>
      </c>
      <c r="W117" s="10">
        <v>45428.7600347222</v>
      </c>
      <c r="X117" s="6"/>
      <c r="Y117" s="6"/>
      <c r="Z117" s="6"/>
      <c r="AA117" s="6"/>
      <c r="AB117" s="6">
        <v>45428.7600347222</v>
      </c>
      <c r="AC117" s="6" t="s">
        <v>269</v>
      </c>
    </row>
    <row r="118" s="1" customFormat="1" ht="17.25" customHeight="1" spans="1:29">
      <c r="A118" s="5" t="s">
        <v>833</v>
      </c>
      <c r="B118" s="5" t="s">
        <v>389</v>
      </c>
      <c r="C118" s="5" t="s">
        <v>259</v>
      </c>
      <c r="D118" s="5" t="s">
        <v>27</v>
      </c>
      <c r="E118" s="5"/>
      <c r="F118" s="5" t="s">
        <v>389</v>
      </c>
      <c r="G118" s="5" t="s">
        <v>261</v>
      </c>
      <c r="H118" s="5"/>
      <c r="I118" s="5"/>
      <c r="J118" s="5"/>
      <c r="K118" s="5"/>
      <c r="L118" s="5"/>
      <c r="M118" s="5"/>
      <c r="N118" s="5" t="s">
        <v>834</v>
      </c>
      <c r="O118" s="5"/>
      <c r="P118" s="5"/>
      <c r="Q118" s="5" t="s">
        <v>835</v>
      </c>
      <c r="R118" s="5"/>
      <c r="S118" s="5"/>
      <c r="T118" s="5"/>
      <c r="U118" s="5"/>
      <c r="V118" s="5" t="s">
        <v>836</v>
      </c>
      <c r="W118" s="9">
        <v>45441.7473263889</v>
      </c>
      <c r="X118" s="5"/>
      <c r="Y118" s="5"/>
      <c r="Z118" s="5"/>
      <c r="AA118" s="5"/>
      <c r="AB118" s="5">
        <v>45441.7473263889</v>
      </c>
      <c r="AC118" s="5" t="s">
        <v>836</v>
      </c>
    </row>
    <row r="119" s="1" customFormat="1" ht="17.25" customHeight="1" spans="1:29">
      <c r="A119" s="6" t="s">
        <v>837</v>
      </c>
      <c r="B119" s="6" t="s">
        <v>35</v>
      </c>
      <c r="C119" s="6" t="s">
        <v>259</v>
      </c>
      <c r="D119" s="6" t="s">
        <v>838</v>
      </c>
      <c r="E119" s="6"/>
      <c r="F119" s="6" t="s">
        <v>35</v>
      </c>
      <c r="G119" s="6" t="s">
        <v>839</v>
      </c>
      <c r="H119" s="6" t="s">
        <v>840</v>
      </c>
      <c r="I119" s="6" t="s">
        <v>837</v>
      </c>
      <c r="J119" s="6" t="s">
        <v>530</v>
      </c>
      <c r="K119" s="6" t="s">
        <v>531</v>
      </c>
      <c r="L119" s="6" t="s">
        <v>841</v>
      </c>
      <c r="M119" s="6"/>
      <c r="N119" s="6" t="s">
        <v>842</v>
      </c>
      <c r="O119" s="6"/>
      <c r="P119" s="6"/>
      <c r="Q119" s="6" t="s">
        <v>843</v>
      </c>
      <c r="R119" s="6"/>
      <c r="S119" s="6"/>
      <c r="T119" s="6"/>
      <c r="U119" s="6" t="s">
        <v>268</v>
      </c>
      <c r="V119" s="6" t="s">
        <v>270</v>
      </c>
      <c r="W119" s="10">
        <v>45528.4886574074</v>
      </c>
      <c r="X119" s="6"/>
      <c r="Y119" s="6"/>
      <c r="Z119" s="6"/>
      <c r="AA119" s="6"/>
      <c r="AB119" s="6">
        <v>45450.4904166667</v>
      </c>
      <c r="AC119" s="6" t="s">
        <v>270</v>
      </c>
    </row>
    <row r="120" s="1" customFormat="1" ht="17.25" customHeight="1" spans="1:29">
      <c r="A120" s="5" t="s">
        <v>844</v>
      </c>
      <c r="B120" s="5" t="s">
        <v>389</v>
      </c>
      <c r="C120" s="5" t="s">
        <v>259</v>
      </c>
      <c r="D120" s="5" t="s">
        <v>27</v>
      </c>
      <c r="E120" s="5"/>
      <c r="F120" s="5" t="s">
        <v>389</v>
      </c>
      <c r="G120" s="5" t="s">
        <v>261</v>
      </c>
      <c r="H120" s="5" t="s">
        <v>845</v>
      </c>
      <c r="I120" s="5" t="s">
        <v>844</v>
      </c>
      <c r="J120" s="5" t="s">
        <v>283</v>
      </c>
      <c r="K120" s="5" t="s">
        <v>284</v>
      </c>
      <c r="L120" s="5" t="s">
        <v>846</v>
      </c>
      <c r="M120" s="5"/>
      <c r="N120" s="5" t="s">
        <v>847</v>
      </c>
      <c r="O120" s="5"/>
      <c r="P120" s="5"/>
      <c r="Q120" s="5" t="s">
        <v>848</v>
      </c>
      <c r="R120" s="5"/>
      <c r="S120" s="5"/>
      <c r="T120" s="5"/>
      <c r="U120" s="5" t="s">
        <v>268</v>
      </c>
      <c r="V120" s="5" t="s">
        <v>270</v>
      </c>
      <c r="W120" s="9">
        <v>45454.4967476852</v>
      </c>
      <c r="X120" s="5"/>
      <c r="Y120" s="5"/>
      <c r="Z120" s="5"/>
      <c r="AA120" s="5"/>
      <c r="AB120" s="5">
        <v>45454.4908449074</v>
      </c>
      <c r="AC120" s="5" t="s">
        <v>270</v>
      </c>
    </row>
    <row r="121" s="1" customFormat="1" ht="17.25" customHeight="1" spans="1:29">
      <c r="A121" s="6" t="s">
        <v>849</v>
      </c>
      <c r="B121" s="6" t="s">
        <v>389</v>
      </c>
      <c r="C121" s="6" t="s">
        <v>259</v>
      </c>
      <c r="D121" s="6" t="s">
        <v>27</v>
      </c>
      <c r="E121" s="6"/>
      <c r="F121" s="6" t="s">
        <v>389</v>
      </c>
      <c r="G121" s="6" t="s">
        <v>261</v>
      </c>
      <c r="H121" s="6" t="s">
        <v>850</v>
      </c>
      <c r="I121" s="6" t="s">
        <v>849</v>
      </c>
      <c r="J121" s="6" t="s">
        <v>637</v>
      </c>
      <c r="K121" s="6" t="s">
        <v>638</v>
      </c>
      <c r="L121" s="6" t="s">
        <v>851</v>
      </c>
      <c r="M121" s="6"/>
      <c r="N121" s="6" t="s">
        <v>852</v>
      </c>
      <c r="O121" s="6"/>
      <c r="P121" s="6"/>
      <c r="Q121" s="6" t="s">
        <v>853</v>
      </c>
      <c r="R121" s="6"/>
      <c r="S121" s="6"/>
      <c r="T121" s="6"/>
      <c r="U121" s="6" t="s">
        <v>268</v>
      </c>
      <c r="V121" s="6" t="s">
        <v>270</v>
      </c>
      <c r="W121" s="10">
        <v>45465.604849537</v>
      </c>
      <c r="X121" s="6"/>
      <c r="Y121" s="6"/>
      <c r="Z121" s="6"/>
      <c r="AA121" s="6"/>
      <c r="AB121" s="6">
        <v>45465.604849537</v>
      </c>
      <c r="AC121" s="6" t="s">
        <v>270</v>
      </c>
    </row>
    <row r="122" s="1" customFormat="1" ht="17.25" customHeight="1" spans="1:29">
      <c r="A122" s="5" t="s">
        <v>854</v>
      </c>
      <c r="B122" s="5" t="s">
        <v>389</v>
      </c>
      <c r="C122" s="5" t="s">
        <v>259</v>
      </c>
      <c r="D122" s="5" t="s">
        <v>27</v>
      </c>
      <c r="E122" s="5"/>
      <c r="F122" s="5" t="s">
        <v>389</v>
      </c>
      <c r="G122" s="5" t="s">
        <v>261</v>
      </c>
      <c r="H122" s="5" t="s">
        <v>855</v>
      </c>
      <c r="I122" s="5" t="s">
        <v>854</v>
      </c>
      <c r="J122" s="5" t="s">
        <v>856</v>
      </c>
      <c r="K122" s="5" t="s">
        <v>857</v>
      </c>
      <c r="L122" s="5" t="s">
        <v>858</v>
      </c>
      <c r="M122" s="5"/>
      <c r="N122" s="5" t="s">
        <v>859</v>
      </c>
      <c r="O122" s="5"/>
      <c r="P122" s="5"/>
      <c r="Q122" s="5" t="s">
        <v>860</v>
      </c>
      <c r="R122" s="5"/>
      <c r="S122" s="5"/>
      <c r="T122" s="5"/>
      <c r="U122" s="5" t="s">
        <v>268</v>
      </c>
      <c r="V122" s="5" t="s">
        <v>270</v>
      </c>
      <c r="W122" s="9">
        <v>45624.5014930556</v>
      </c>
      <c r="X122" s="5"/>
      <c r="Y122" s="5"/>
      <c r="Z122" s="5"/>
      <c r="AA122" s="5"/>
      <c r="AB122" s="5">
        <v>45467.6818402778</v>
      </c>
      <c r="AC122" s="5" t="s">
        <v>861</v>
      </c>
    </row>
    <row r="123" s="1" customFormat="1" ht="17.25" customHeight="1" spans="1:29">
      <c r="A123" s="6" t="s">
        <v>862</v>
      </c>
      <c r="B123" s="6" t="s">
        <v>862</v>
      </c>
      <c r="C123" s="6" t="s">
        <v>259</v>
      </c>
      <c r="D123" s="6" t="s">
        <v>863</v>
      </c>
      <c r="E123" s="6"/>
      <c r="F123" s="6" t="s">
        <v>35</v>
      </c>
      <c r="G123" s="6" t="s">
        <v>864</v>
      </c>
      <c r="H123" s="6" t="s">
        <v>865</v>
      </c>
      <c r="I123" s="6" t="s">
        <v>862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 t="s">
        <v>270</v>
      </c>
      <c r="W123" s="10">
        <v>45553.6280902778</v>
      </c>
      <c r="X123" s="6"/>
      <c r="Y123" s="6"/>
      <c r="Z123" s="6"/>
      <c r="AA123" s="6"/>
      <c r="AB123" s="6">
        <v>45553.6280902778</v>
      </c>
      <c r="AC123" s="6" t="s">
        <v>270</v>
      </c>
    </row>
    <row r="124" s="1" customFormat="1" ht="17.25" customHeight="1" spans="1:29">
      <c r="A124" s="5" t="s">
        <v>866</v>
      </c>
      <c r="B124" s="5" t="s">
        <v>35</v>
      </c>
      <c r="C124" s="5" t="s">
        <v>259</v>
      </c>
      <c r="D124" s="5" t="s">
        <v>838</v>
      </c>
      <c r="E124" s="5"/>
      <c r="F124" s="5" t="s">
        <v>867</v>
      </c>
      <c r="G124" s="5" t="s">
        <v>868</v>
      </c>
      <c r="H124" s="5" t="s">
        <v>869</v>
      </c>
      <c r="I124" s="5" t="s">
        <v>866</v>
      </c>
      <c r="J124" s="5" t="s">
        <v>263</v>
      </c>
      <c r="K124" s="5" t="s">
        <v>264</v>
      </c>
      <c r="L124" s="5" t="s">
        <v>870</v>
      </c>
      <c r="M124" s="5"/>
      <c r="N124" s="5" t="s">
        <v>871</v>
      </c>
      <c r="O124" s="5"/>
      <c r="P124" s="5"/>
      <c r="Q124" s="5" t="s">
        <v>872</v>
      </c>
      <c r="R124" s="5"/>
      <c r="S124" s="5"/>
      <c r="T124" s="5"/>
      <c r="U124" s="5" t="s">
        <v>268</v>
      </c>
      <c r="V124" s="5" t="s">
        <v>270</v>
      </c>
      <c r="W124" s="9">
        <v>45502.7480902778</v>
      </c>
      <c r="X124" s="5"/>
      <c r="Y124" s="5"/>
      <c r="Z124" s="5"/>
      <c r="AA124" s="5"/>
      <c r="AB124" s="5">
        <v>45471.7453472222</v>
      </c>
      <c r="AC124" s="5" t="s">
        <v>270</v>
      </c>
    </row>
    <row r="125" s="1" customFormat="1" ht="17.25" customHeight="1" spans="1:29">
      <c r="A125" s="6" t="s">
        <v>873</v>
      </c>
      <c r="B125" s="6" t="s">
        <v>389</v>
      </c>
      <c r="C125" s="6" t="s">
        <v>259</v>
      </c>
      <c r="D125" s="6" t="s">
        <v>27</v>
      </c>
      <c r="E125" s="6"/>
      <c r="F125" s="6" t="s">
        <v>389</v>
      </c>
      <c r="G125" s="6" t="s">
        <v>261</v>
      </c>
      <c r="H125" s="6"/>
      <c r="I125" s="6"/>
      <c r="J125" s="6"/>
      <c r="K125" s="6"/>
      <c r="L125" s="6" t="s">
        <v>378</v>
      </c>
      <c r="M125" s="6"/>
      <c r="N125" s="6" t="s">
        <v>874</v>
      </c>
      <c r="O125" s="6"/>
      <c r="P125" s="6"/>
      <c r="Q125" s="6" t="s">
        <v>875</v>
      </c>
      <c r="R125" s="6"/>
      <c r="S125" s="6"/>
      <c r="T125" s="6"/>
      <c r="U125" s="6"/>
      <c r="V125" s="6" t="s">
        <v>836</v>
      </c>
      <c r="W125" s="10">
        <v>45474.6741666667</v>
      </c>
      <c r="X125" s="6"/>
      <c r="Y125" s="6"/>
      <c r="Z125" s="6"/>
      <c r="AA125" s="6"/>
      <c r="AB125" s="6">
        <v>45474.6741666667</v>
      </c>
      <c r="AC125" s="6" t="s">
        <v>836</v>
      </c>
    </row>
    <row r="126" s="1" customFormat="1" ht="17.25" customHeight="1" spans="1:29">
      <c r="A126" s="5" t="s">
        <v>876</v>
      </c>
      <c r="B126" s="5" t="s">
        <v>389</v>
      </c>
      <c r="C126" s="5" t="s">
        <v>259</v>
      </c>
      <c r="D126" s="5" t="s">
        <v>27</v>
      </c>
      <c r="E126" s="5"/>
      <c r="F126" s="5" t="s">
        <v>389</v>
      </c>
      <c r="G126" s="5" t="s">
        <v>261</v>
      </c>
      <c r="H126" s="5" t="s">
        <v>877</v>
      </c>
      <c r="I126" s="5" t="s">
        <v>876</v>
      </c>
      <c r="J126" s="5" t="s">
        <v>611</v>
      </c>
      <c r="K126" s="5" t="s">
        <v>612</v>
      </c>
      <c r="L126" s="5" t="s">
        <v>878</v>
      </c>
      <c r="M126" s="5"/>
      <c r="N126" s="5" t="s">
        <v>879</v>
      </c>
      <c r="O126" s="5"/>
      <c r="P126" s="5"/>
      <c r="Q126" s="5" t="s">
        <v>880</v>
      </c>
      <c r="R126" s="5"/>
      <c r="S126" s="5"/>
      <c r="T126" s="5"/>
      <c r="U126" s="5"/>
      <c r="V126" s="5" t="s">
        <v>269</v>
      </c>
      <c r="W126" s="9">
        <v>45485.7278935185</v>
      </c>
      <c r="X126" s="5"/>
      <c r="Y126" s="5"/>
      <c r="Z126" s="5"/>
      <c r="AA126" s="5"/>
      <c r="AB126" s="5">
        <v>45485.7174189815</v>
      </c>
      <c r="AC126" s="5" t="s">
        <v>269</v>
      </c>
    </row>
    <row r="127" s="1" customFormat="1" ht="17.25" customHeight="1" spans="1:29">
      <c r="A127" s="6" t="s">
        <v>881</v>
      </c>
      <c r="B127" s="6" t="s">
        <v>389</v>
      </c>
      <c r="C127" s="6" t="s">
        <v>259</v>
      </c>
      <c r="D127" s="6" t="s">
        <v>27</v>
      </c>
      <c r="E127" s="6"/>
      <c r="F127" s="6" t="s">
        <v>389</v>
      </c>
      <c r="G127" s="6" t="s">
        <v>261</v>
      </c>
      <c r="H127" s="6" t="s">
        <v>882</v>
      </c>
      <c r="I127" s="6" t="s">
        <v>881</v>
      </c>
      <c r="J127" s="6" t="s">
        <v>883</v>
      </c>
      <c r="K127" s="6" t="s">
        <v>884</v>
      </c>
      <c r="L127" s="6" t="s">
        <v>885</v>
      </c>
      <c r="M127" s="6"/>
      <c r="N127" s="6" t="s">
        <v>886</v>
      </c>
      <c r="O127" s="6"/>
      <c r="P127" s="6"/>
      <c r="Q127" s="6" t="s">
        <v>887</v>
      </c>
      <c r="R127" s="6"/>
      <c r="S127" s="6"/>
      <c r="T127" s="6"/>
      <c r="U127" s="6"/>
      <c r="V127" s="6" t="s">
        <v>269</v>
      </c>
      <c r="W127" s="10">
        <v>45486.4960416667</v>
      </c>
      <c r="X127" s="6"/>
      <c r="Y127" s="6"/>
      <c r="Z127" s="6"/>
      <c r="AA127" s="6"/>
      <c r="AB127" s="6">
        <v>45486.4960416667</v>
      </c>
      <c r="AC127" s="6" t="s">
        <v>269</v>
      </c>
    </row>
    <row r="128" s="1" customFormat="1" ht="17.25" customHeight="1" spans="1:29">
      <c r="A128" s="5" t="s">
        <v>888</v>
      </c>
      <c r="B128" s="5" t="s">
        <v>389</v>
      </c>
      <c r="C128" s="5" t="s">
        <v>259</v>
      </c>
      <c r="D128" s="5" t="s">
        <v>27</v>
      </c>
      <c r="E128" s="5"/>
      <c r="F128" s="5" t="s">
        <v>389</v>
      </c>
      <c r="G128" s="5" t="s">
        <v>261</v>
      </c>
      <c r="H128" s="5" t="s">
        <v>889</v>
      </c>
      <c r="I128" s="5" t="s">
        <v>888</v>
      </c>
      <c r="J128" s="5" t="s">
        <v>350</v>
      </c>
      <c r="K128" s="5" t="s">
        <v>351</v>
      </c>
      <c r="L128" s="5" t="s">
        <v>890</v>
      </c>
      <c r="M128" s="5"/>
      <c r="N128" s="5" t="s">
        <v>891</v>
      </c>
      <c r="O128" s="5"/>
      <c r="P128" s="5"/>
      <c r="Q128" s="5" t="s">
        <v>892</v>
      </c>
      <c r="R128" s="5"/>
      <c r="S128" s="5"/>
      <c r="T128" s="5"/>
      <c r="U128" s="5"/>
      <c r="V128" s="5" t="s">
        <v>269</v>
      </c>
      <c r="W128" s="9">
        <v>45495.3933796296</v>
      </c>
      <c r="X128" s="5"/>
      <c r="Y128" s="5"/>
      <c r="Z128" s="5"/>
      <c r="AA128" s="5"/>
      <c r="AB128" s="5">
        <v>45495.3933796296</v>
      </c>
      <c r="AC128" s="5" t="s">
        <v>269</v>
      </c>
    </row>
    <row r="129" s="1" customFormat="1" ht="17.25" customHeight="1" spans="1:29">
      <c r="A129" s="6" t="s">
        <v>893</v>
      </c>
      <c r="B129" s="6" t="s">
        <v>389</v>
      </c>
      <c r="C129" s="6" t="s">
        <v>259</v>
      </c>
      <c r="D129" s="6" t="s">
        <v>27</v>
      </c>
      <c r="E129" s="6"/>
      <c r="F129" s="6" t="s">
        <v>389</v>
      </c>
      <c r="G129" s="6" t="s">
        <v>261</v>
      </c>
      <c r="H129" s="6" t="s">
        <v>894</v>
      </c>
      <c r="I129" s="6" t="s">
        <v>893</v>
      </c>
      <c r="J129" s="6" t="s">
        <v>654</v>
      </c>
      <c r="K129" s="6" t="s">
        <v>655</v>
      </c>
      <c r="L129" s="6" t="s">
        <v>895</v>
      </c>
      <c r="M129" s="6"/>
      <c r="N129" s="6" t="s">
        <v>896</v>
      </c>
      <c r="O129" s="6"/>
      <c r="P129" s="6"/>
      <c r="Q129" s="6" t="s">
        <v>897</v>
      </c>
      <c r="R129" s="6"/>
      <c r="S129" s="6"/>
      <c r="T129" s="6"/>
      <c r="U129" s="6"/>
      <c r="V129" s="6" t="s">
        <v>269</v>
      </c>
      <c r="W129" s="10">
        <v>45518.6858912037</v>
      </c>
      <c r="X129" s="6"/>
      <c r="Y129" s="6"/>
      <c r="Z129" s="6"/>
      <c r="AA129" s="6"/>
      <c r="AB129" s="6">
        <v>45496.6383333333</v>
      </c>
      <c r="AC129" s="6" t="s">
        <v>270</v>
      </c>
    </row>
    <row r="130" s="1" customFormat="1" ht="17.25" customHeight="1" spans="1:29">
      <c r="A130" s="5" t="s">
        <v>898</v>
      </c>
      <c r="B130" s="5" t="s">
        <v>389</v>
      </c>
      <c r="C130" s="5" t="s">
        <v>259</v>
      </c>
      <c r="D130" s="5" t="s">
        <v>27</v>
      </c>
      <c r="E130" s="5"/>
      <c r="F130" s="5" t="s">
        <v>389</v>
      </c>
      <c r="G130" s="5" t="s">
        <v>261</v>
      </c>
      <c r="H130" s="5" t="s">
        <v>899</v>
      </c>
      <c r="I130" s="5" t="s">
        <v>898</v>
      </c>
      <c r="J130" s="5"/>
      <c r="K130" s="5"/>
      <c r="L130" s="5"/>
      <c r="M130" s="5"/>
      <c r="N130" s="5"/>
      <c r="O130" s="5"/>
      <c r="P130" s="5"/>
      <c r="Q130" s="5" t="s">
        <v>900</v>
      </c>
      <c r="R130" s="5"/>
      <c r="S130" s="5"/>
      <c r="T130" s="5"/>
      <c r="U130" s="5" t="s">
        <v>901</v>
      </c>
      <c r="V130" s="5" t="s">
        <v>836</v>
      </c>
      <c r="W130" s="9">
        <v>45650.7008912037</v>
      </c>
      <c r="X130" s="5"/>
      <c r="Y130" s="5"/>
      <c r="Z130" s="5"/>
      <c r="AA130" s="5"/>
      <c r="AB130" s="5">
        <v>45498.6719212963</v>
      </c>
      <c r="AC130" s="5" t="s">
        <v>902</v>
      </c>
    </row>
    <row r="131" s="1" customFormat="1" ht="17.25" customHeight="1" spans="1:29">
      <c r="A131" s="6" t="s">
        <v>903</v>
      </c>
      <c r="B131" s="6" t="s">
        <v>389</v>
      </c>
      <c r="C131" s="6" t="s">
        <v>259</v>
      </c>
      <c r="D131" s="6" t="s">
        <v>27</v>
      </c>
      <c r="E131" s="6"/>
      <c r="F131" s="6" t="s">
        <v>389</v>
      </c>
      <c r="G131" s="6" t="s">
        <v>261</v>
      </c>
      <c r="H131" s="6" t="s">
        <v>904</v>
      </c>
      <c r="I131" s="6" t="s">
        <v>903</v>
      </c>
      <c r="J131" s="6"/>
      <c r="K131" s="6"/>
      <c r="L131" s="6"/>
      <c r="M131" s="6"/>
      <c r="N131" s="6" t="s">
        <v>905</v>
      </c>
      <c r="O131" s="6"/>
      <c r="P131" s="6"/>
      <c r="Q131" s="6" t="s">
        <v>906</v>
      </c>
      <c r="R131" s="6"/>
      <c r="S131" s="6"/>
      <c r="T131" s="6"/>
      <c r="U131" s="6" t="s">
        <v>901</v>
      </c>
      <c r="V131" s="6" t="s">
        <v>902</v>
      </c>
      <c r="W131" s="10">
        <v>45650.6822800926</v>
      </c>
      <c r="X131" s="6"/>
      <c r="Y131" s="6"/>
      <c r="Z131" s="6"/>
      <c r="AA131" s="6"/>
      <c r="AB131" s="6">
        <v>45510.4522106481</v>
      </c>
      <c r="AC131" s="6" t="s">
        <v>902</v>
      </c>
    </row>
    <row r="132" s="1" customFormat="1" ht="17.25" customHeight="1" spans="1:29">
      <c r="A132" s="5" t="s">
        <v>907</v>
      </c>
      <c r="B132" s="5" t="s">
        <v>389</v>
      </c>
      <c r="C132" s="5" t="s">
        <v>259</v>
      </c>
      <c r="D132" s="5" t="s">
        <v>27</v>
      </c>
      <c r="E132" s="5"/>
      <c r="F132" s="5" t="s">
        <v>389</v>
      </c>
      <c r="G132" s="5" t="s">
        <v>261</v>
      </c>
      <c r="H132" s="5" t="s">
        <v>882</v>
      </c>
      <c r="I132" s="5" t="s">
        <v>881</v>
      </c>
      <c r="J132" s="5" t="s">
        <v>422</v>
      </c>
      <c r="K132" s="5" t="s">
        <v>423</v>
      </c>
      <c r="L132" s="5" t="s">
        <v>471</v>
      </c>
      <c r="M132" s="5"/>
      <c r="N132" s="5" t="s">
        <v>908</v>
      </c>
      <c r="O132" s="5"/>
      <c r="P132" s="5"/>
      <c r="Q132" s="5" t="s">
        <v>477</v>
      </c>
      <c r="R132" s="5"/>
      <c r="S132" s="5"/>
      <c r="T132" s="5"/>
      <c r="U132" s="5"/>
      <c r="V132" s="5" t="s">
        <v>270</v>
      </c>
      <c r="W132" s="9">
        <v>45518.6962847222</v>
      </c>
      <c r="X132" s="5"/>
      <c r="Y132" s="5"/>
      <c r="Z132" s="5"/>
      <c r="AA132" s="5"/>
      <c r="AB132" s="5">
        <v>45518.6962847222</v>
      </c>
      <c r="AC132" s="5" t="s">
        <v>270</v>
      </c>
    </row>
    <row r="133" s="1" customFormat="1" ht="17.25" customHeight="1" spans="1:29">
      <c r="A133" s="6" t="s">
        <v>909</v>
      </c>
      <c r="B133" s="6" t="s">
        <v>389</v>
      </c>
      <c r="C133" s="6" t="s">
        <v>259</v>
      </c>
      <c r="D133" s="6" t="s">
        <v>27</v>
      </c>
      <c r="E133" s="6"/>
      <c r="F133" s="6" t="s">
        <v>389</v>
      </c>
      <c r="G133" s="6" t="s">
        <v>261</v>
      </c>
      <c r="H133" s="6" t="s">
        <v>910</v>
      </c>
      <c r="I133" s="6" t="s">
        <v>909</v>
      </c>
      <c r="J133" s="6" t="s">
        <v>378</v>
      </c>
      <c r="K133" s="6" t="s">
        <v>379</v>
      </c>
      <c r="L133" s="6" t="s">
        <v>911</v>
      </c>
      <c r="M133" s="6"/>
      <c r="N133" s="6" t="s">
        <v>912</v>
      </c>
      <c r="O133" s="6"/>
      <c r="P133" s="6"/>
      <c r="Q133" s="6" t="s">
        <v>913</v>
      </c>
      <c r="R133" s="6"/>
      <c r="S133" s="6"/>
      <c r="T133" s="6"/>
      <c r="U133" s="6"/>
      <c r="V133" s="6" t="s">
        <v>270</v>
      </c>
      <c r="W133" s="10">
        <v>45523.7425810185</v>
      </c>
      <c r="X133" s="6"/>
      <c r="Y133" s="6"/>
      <c r="Z133" s="6"/>
      <c r="AA133" s="6"/>
      <c r="AB133" s="6">
        <v>45523.7425810185</v>
      </c>
      <c r="AC133" s="6" t="s">
        <v>270</v>
      </c>
    </row>
    <row r="134" s="1" customFormat="1" ht="17.25" customHeight="1" spans="1:29">
      <c r="A134" s="5" t="s">
        <v>914</v>
      </c>
      <c r="B134" s="5" t="s">
        <v>389</v>
      </c>
      <c r="C134" s="5" t="s">
        <v>259</v>
      </c>
      <c r="D134" s="5" t="s">
        <v>27</v>
      </c>
      <c r="E134" s="5"/>
      <c r="F134" s="5" t="s">
        <v>389</v>
      </c>
      <c r="G134" s="5" t="s">
        <v>261</v>
      </c>
      <c r="H134" s="5" t="s">
        <v>915</v>
      </c>
      <c r="I134" s="5" t="s">
        <v>914</v>
      </c>
      <c r="J134" s="5" t="s">
        <v>611</v>
      </c>
      <c r="K134" s="5" t="s">
        <v>612</v>
      </c>
      <c r="L134" s="5" t="s">
        <v>916</v>
      </c>
      <c r="M134" s="5"/>
      <c r="N134" s="5" t="s">
        <v>917</v>
      </c>
      <c r="O134" s="5"/>
      <c r="P134" s="5"/>
      <c r="Q134" s="5" t="s">
        <v>918</v>
      </c>
      <c r="R134" s="5"/>
      <c r="S134" s="5"/>
      <c r="T134" s="5"/>
      <c r="U134" s="5"/>
      <c r="V134" s="5" t="s">
        <v>270</v>
      </c>
      <c r="W134" s="9">
        <v>45603.4913425926</v>
      </c>
      <c r="X134" s="5"/>
      <c r="Y134" s="5"/>
      <c r="Z134" s="5"/>
      <c r="AA134" s="5"/>
      <c r="AB134" s="5">
        <v>45531.4103819444</v>
      </c>
      <c r="AC134" s="5" t="s">
        <v>902</v>
      </c>
    </row>
    <row r="135" s="1" customFormat="1" ht="17.25" customHeight="1" spans="1:29">
      <c r="A135" s="6" t="s">
        <v>919</v>
      </c>
      <c r="B135" s="6" t="s">
        <v>389</v>
      </c>
      <c r="C135" s="6" t="s">
        <v>259</v>
      </c>
      <c r="D135" s="6" t="s">
        <v>27</v>
      </c>
      <c r="E135" s="6"/>
      <c r="F135" s="6" t="s">
        <v>389</v>
      </c>
      <c r="G135" s="6" t="s">
        <v>261</v>
      </c>
      <c r="H135" s="6" t="s">
        <v>920</v>
      </c>
      <c r="I135" s="6" t="s">
        <v>919</v>
      </c>
      <c r="J135" s="6" t="s">
        <v>338</v>
      </c>
      <c r="K135" s="6" t="s">
        <v>339</v>
      </c>
      <c r="L135" s="6" t="s">
        <v>415</v>
      </c>
      <c r="M135" s="6"/>
      <c r="N135" s="6" t="s">
        <v>921</v>
      </c>
      <c r="O135" s="6"/>
      <c r="P135" s="6"/>
      <c r="Q135" s="6" t="s">
        <v>922</v>
      </c>
      <c r="R135" s="6"/>
      <c r="S135" s="6"/>
      <c r="T135" s="6"/>
      <c r="U135" s="6"/>
      <c r="V135" s="6" t="s">
        <v>270</v>
      </c>
      <c r="W135" s="10">
        <v>45562.6790972222</v>
      </c>
      <c r="X135" s="6"/>
      <c r="Y135" s="6"/>
      <c r="Z135" s="6"/>
      <c r="AA135" s="6"/>
      <c r="AB135" s="6">
        <v>45562.6790972222</v>
      </c>
      <c r="AC135" s="6" t="s">
        <v>270</v>
      </c>
    </row>
    <row r="136" s="1" customFormat="1" ht="17.25" customHeight="1" spans="1:29">
      <c r="A136" s="5" t="s">
        <v>923</v>
      </c>
      <c r="B136" s="5" t="s">
        <v>389</v>
      </c>
      <c r="C136" s="5" t="s">
        <v>259</v>
      </c>
      <c r="D136" s="5" t="s">
        <v>27</v>
      </c>
      <c r="E136" s="5"/>
      <c r="F136" s="5" t="s">
        <v>389</v>
      </c>
      <c r="G136" s="5" t="s">
        <v>261</v>
      </c>
      <c r="H136" s="5" t="s">
        <v>924</v>
      </c>
      <c r="I136" s="5" t="s">
        <v>923</v>
      </c>
      <c r="J136" s="5" t="s">
        <v>422</v>
      </c>
      <c r="K136" s="5" t="s">
        <v>423</v>
      </c>
      <c r="L136" s="5" t="s">
        <v>471</v>
      </c>
      <c r="M136" s="5"/>
      <c r="N136" s="5" t="s">
        <v>925</v>
      </c>
      <c r="O136" s="5"/>
      <c r="P136" s="5"/>
      <c r="Q136" s="5" t="s">
        <v>477</v>
      </c>
      <c r="R136" s="5"/>
      <c r="S136" s="5"/>
      <c r="T136" s="5"/>
      <c r="U136" s="5"/>
      <c r="V136" s="5" t="s">
        <v>270</v>
      </c>
      <c r="W136" s="9">
        <v>45577.4407060185</v>
      </c>
      <c r="X136" s="5"/>
      <c r="Y136" s="5"/>
      <c r="Z136" s="5"/>
      <c r="AA136" s="5"/>
      <c r="AB136" s="5">
        <v>45577.4407060185</v>
      </c>
      <c r="AC136" s="5" t="s">
        <v>270</v>
      </c>
    </row>
    <row r="137" s="1" customFormat="1" ht="17.25" customHeight="1" spans="1:29">
      <c r="A137" s="6" t="s">
        <v>926</v>
      </c>
      <c r="B137" s="6" t="s">
        <v>389</v>
      </c>
      <c r="C137" s="6" t="s">
        <v>259</v>
      </c>
      <c r="D137" s="6" t="s">
        <v>27</v>
      </c>
      <c r="E137" s="6"/>
      <c r="F137" s="6" t="s">
        <v>389</v>
      </c>
      <c r="G137" s="6" t="s">
        <v>261</v>
      </c>
      <c r="H137" s="6" t="s">
        <v>927</v>
      </c>
      <c r="I137" s="6" t="s">
        <v>926</v>
      </c>
      <c r="J137" s="6" t="s">
        <v>422</v>
      </c>
      <c r="K137" s="6" t="s">
        <v>423</v>
      </c>
      <c r="L137" s="6" t="s">
        <v>928</v>
      </c>
      <c r="M137" s="6"/>
      <c r="N137" s="6" t="s">
        <v>929</v>
      </c>
      <c r="O137" s="6"/>
      <c r="P137" s="6"/>
      <c r="Q137" s="6">
        <v>85307</v>
      </c>
      <c r="R137" s="6"/>
      <c r="S137" s="6"/>
      <c r="T137" s="6"/>
      <c r="U137" s="6"/>
      <c r="V137" s="6" t="s">
        <v>270</v>
      </c>
      <c r="W137" s="10">
        <v>45583.4668055556</v>
      </c>
      <c r="X137" s="6"/>
      <c r="Y137" s="6"/>
      <c r="Z137" s="6"/>
      <c r="AA137" s="6"/>
      <c r="AB137" s="6">
        <v>45583.4668055556</v>
      </c>
      <c r="AC137" s="6" t="s">
        <v>270</v>
      </c>
    </row>
    <row r="138" s="1" customFormat="1" ht="17.25" customHeight="1" spans="1:29">
      <c r="A138" s="5" t="s">
        <v>930</v>
      </c>
      <c r="B138" s="5" t="s">
        <v>389</v>
      </c>
      <c r="C138" s="5" t="s">
        <v>259</v>
      </c>
      <c r="D138" s="5" t="s">
        <v>27</v>
      </c>
      <c r="E138" s="5"/>
      <c r="F138" s="5" t="s">
        <v>389</v>
      </c>
      <c r="G138" s="5" t="s">
        <v>261</v>
      </c>
      <c r="H138" s="5" t="s">
        <v>931</v>
      </c>
      <c r="I138" s="5" t="s">
        <v>901</v>
      </c>
      <c r="J138" s="5"/>
      <c r="K138" s="5"/>
      <c r="L138" s="5"/>
      <c r="M138" s="5"/>
      <c r="N138" s="5" t="s">
        <v>932</v>
      </c>
      <c r="O138" s="5"/>
      <c r="P138" s="5"/>
      <c r="Q138" s="5" t="s">
        <v>933</v>
      </c>
      <c r="R138" s="5"/>
      <c r="S138" s="5"/>
      <c r="T138" s="5"/>
      <c r="U138" s="5"/>
      <c r="V138" s="5" t="s">
        <v>902</v>
      </c>
      <c r="W138" s="9">
        <v>45650.7028819444</v>
      </c>
      <c r="X138" s="5"/>
      <c r="Y138" s="5"/>
      <c r="Z138" s="5"/>
      <c r="AA138" s="5"/>
      <c r="AB138" s="5">
        <v>45603.4891203704</v>
      </c>
      <c r="AC138" s="5" t="s">
        <v>902</v>
      </c>
    </row>
    <row r="139" s="1" customFormat="1" ht="17.25" customHeight="1" spans="1:29">
      <c r="A139" s="6" t="s">
        <v>934</v>
      </c>
      <c r="B139" s="6" t="s">
        <v>389</v>
      </c>
      <c r="C139" s="6" t="s">
        <v>259</v>
      </c>
      <c r="D139" s="6" t="s">
        <v>27</v>
      </c>
      <c r="E139" s="6"/>
      <c r="F139" s="6" t="s">
        <v>389</v>
      </c>
      <c r="G139" s="6" t="s">
        <v>261</v>
      </c>
      <c r="H139" s="6" t="s">
        <v>935</v>
      </c>
      <c r="I139" s="6" t="s">
        <v>936</v>
      </c>
      <c r="J139" s="6"/>
      <c r="K139" s="6"/>
      <c r="L139" s="6"/>
      <c r="M139" s="6"/>
      <c r="N139" s="6" t="s">
        <v>937</v>
      </c>
      <c r="O139" s="6"/>
      <c r="P139" s="6"/>
      <c r="Q139" s="6" t="s">
        <v>938</v>
      </c>
      <c r="R139" s="6"/>
      <c r="S139" s="6"/>
      <c r="T139" s="6"/>
      <c r="U139" s="6"/>
      <c r="V139" s="6" t="s">
        <v>902</v>
      </c>
      <c r="W139" s="10">
        <v>45615.676087963</v>
      </c>
      <c r="X139" s="6"/>
      <c r="Y139" s="6"/>
      <c r="Z139" s="6"/>
      <c r="AA139" s="6"/>
      <c r="AB139" s="6">
        <v>45615.676087963</v>
      </c>
      <c r="AC139" s="6" t="s">
        <v>902</v>
      </c>
    </row>
    <row r="140" s="1" customFormat="1" ht="17.25" customHeight="1" spans="1:29">
      <c r="A140" s="5" t="s">
        <v>939</v>
      </c>
      <c r="B140" s="5" t="s">
        <v>35</v>
      </c>
      <c r="C140" s="5" t="s">
        <v>259</v>
      </c>
      <c r="D140" s="5" t="s">
        <v>940</v>
      </c>
      <c r="E140" s="5"/>
      <c r="F140" s="5" t="s">
        <v>35</v>
      </c>
      <c r="G140" s="5" t="s">
        <v>261</v>
      </c>
      <c r="H140" s="5" t="s">
        <v>941</v>
      </c>
      <c r="I140" s="5" t="s">
        <v>939</v>
      </c>
      <c r="J140" s="5" t="s">
        <v>364</v>
      </c>
      <c r="K140" s="5" t="s">
        <v>365</v>
      </c>
      <c r="L140" s="5" t="s">
        <v>734</v>
      </c>
      <c r="M140" s="5"/>
      <c r="N140" s="5"/>
      <c r="O140" s="5"/>
      <c r="P140" s="5"/>
      <c r="Q140" s="5"/>
      <c r="R140" s="5"/>
      <c r="S140" s="5"/>
      <c r="T140" s="5"/>
      <c r="U140" s="5"/>
      <c r="V140" s="5" t="s">
        <v>270</v>
      </c>
      <c r="W140" s="9">
        <v>45693.7779282407</v>
      </c>
      <c r="X140" s="5"/>
      <c r="Y140" s="5"/>
      <c r="Z140" s="5"/>
      <c r="AA140" s="5"/>
      <c r="AB140" s="5">
        <v>45630.5041319444</v>
      </c>
      <c r="AC140" s="5" t="s">
        <v>270</v>
      </c>
    </row>
    <row r="141" s="1" customFormat="1" ht="17.25" customHeight="1" spans="1:29">
      <c r="A141" s="6" t="s">
        <v>942</v>
      </c>
      <c r="B141" s="6" t="s">
        <v>943</v>
      </c>
      <c r="C141" s="6" t="s">
        <v>259</v>
      </c>
      <c r="D141" s="6" t="s">
        <v>944</v>
      </c>
      <c r="E141" s="6"/>
      <c r="F141" s="6" t="s">
        <v>35</v>
      </c>
      <c r="G141" s="6" t="s">
        <v>945</v>
      </c>
      <c r="H141" s="6"/>
      <c r="I141" s="6"/>
      <c r="J141" s="6" t="s">
        <v>338</v>
      </c>
      <c r="K141" s="6" t="s">
        <v>339</v>
      </c>
      <c r="L141" s="6"/>
      <c r="M141" s="6"/>
      <c r="N141" s="6" t="s">
        <v>946</v>
      </c>
      <c r="O141" s="6"/>
      <c r="P141" s="6"/>
      <c r="Q141" s="6" t="s">
        <v>942</v>
      </c>
      <c r="R141" s="6"/>
      <c r="S141" s="6"/>
      <c r="T141" s="6"/>
      <c r="U141" s="6" t="s">
        <v>268</v>
      </c>
      <c r="V141" s="6" t="s">
        <v>947</v>
      </c>
      <c r="W141" s="10">
        <v>45638.7502314815</v>
      </c>
      <c r="X141" s="6"/>
      <c r="Y141" s="6"/>
      <c r="Z141" s="6"/>
      <c r="AA141" s="6"/>
      <c r="AB141" s="6">
        <v>45638.7502314815</v>
      </c>
      <c r="AC141" s="6" t="s">
        <v>947</v>
      </c>
    </row>
    <row r="142" s="1" customFormat="1" ht="17.25" customHeight="1" spans="1:29">
      <c r="A142" s="5" t="s">
        <v>948</v>
      </c>
      <c r="B142" s="5" t="s">
        <v>389</v>
      </c>
      <c r="C142" s="5" t="s">
        <v>259</v>
      </c>
      <c r="D142" s="5" t="s">
        <v>27</v>
      </c>
      <c r="E142" s="5"/>
      <c r="F142" s="5" t="s">
        <v>389</v>
      </c>
      <c r="G142" s="5" t="s">
        <v>261</v>
      </c>
      <c r="H142" s="5" t="s">
        <v>949</v>
      </c>
      <c r="I142" s="5" t="s">
        <v>948</v>
      </c>
      <c r="J142" s="5" t="s">
        <v>440</v>
      </c>
      <c r="K142" s="5" t="s">
        <v>441</v>
      </c>
      <c r="L142" s="5" t="s">
        <v>950</v>
      </c>
      <c r="M142" s="5"/>
      <c r="N142" s="5" t="s">
        <v>951</v>
      </c>
      <c r="O142" s="5"/>
      <c r="P142" s="5"/>
      <c r="Q142" s="5" t="s">
        <v>952</v>
      </c>
      <c r="R142" s="5"/>
      <c r="S142" s="5"/>
      <c r="T142" s="5"/>
      <c r="U142" s="5" t="s">
        <v>268</v>
      </c>
      <c r="V142" s="5" t="s">
        <v>269</v>
      </c>
      <c r="W142" s="9">
        <v>45428.7600347222</v>
      </c>
      <c r="X142" s="5"/>
      <c r="Y142" s="5"/>
      <c r="Z142" s="5"/>
      <c r="AA142" s="5"/>
      <c r="AB142" s="5">
        <v>45428.7600347222</v>
      </c>
      <c r="AC142" s="5" t="s">
        <v>269</v>
      </c>
    </row>
    <row r="143" s="1" customFormat="1" ht="17.25" customHeight="1" spans="1:29">
      <c r="A143" s="6" t="s">
        <v>953</v>
      </c>
      <c r="B143" s="6" t="s">
        <v>389</v>
      </c>
      <c r="C143" s="6" t="s">
        <v>259</v>
      </c>
      <c r="D143" s="6" t="s">
        <v>27</v>
      </c>
      <c r="E143" s="6"/>
      <c r="F143" s="6" t="s">
        <v>389</v>
      </c>
      <c r="G143" s="6" t="s">
        <v>261</v>
      </c>
      <c r="H143" s="6" t="s">
        <v>954</v>
      </c>
      <c r="I143" s="6" t="s">
        <v>953</v>
      </c>
      <c r="J143" s="6" t="s">
        <v>440</v>
      </c>
      <c r="K143" s="6" t="s">
        <v>441</v>
      </c>
      <c r="L143" s="6" t="s">
        <v>955</v>
      </c>
      <c r="M143" s="6"/>
      <c r="N143" s="6" t="s">
        <v>956</v>
      </c>
      <c r="O143" s="6"/>
      <c r="P143" s="6"/>
      <c r="Q143" s="6" t="s">
        <v>957</v>
      </c>
      <c r="R143" s="6"/>
      <c r="S143" s="6"/>
      <c r="T143" s="6"/>
      <c r="U143" s="6" t="s">
        <v>268</v>
      </c>
      <c r="V143" s="6" t="s">
        <v>269</v>
      </c>
      <c r="W143" s="10">
        <v>45428.7600347222</v>
      </c>
      <c r="X143" s="6"/>
      <c r="Y143" s="6"/>
      <c r="Z143" s="6"/>
      <c r="AA143" s="6"/>
      <c r="AB143" s="6">
        <v>45428.7600347222</v>
      </c>
      <c r="AC143" s="6" t="s">
        <v>269</v>
      </c>
    </row>
    <row r="144" s="1" customFormat="1" ht="17.25" customHeight="1" spans="1:29">
      <c r="A144" s="5" t="s">
        <v>958</v>
      </c>
      <c r="B144" s="5" t="s">
        <v>389</v>
      </c>
      <c r="C144" s="5" t="s">
        <v>259</v>
      </c>
      <c r="D144" s="5" t="s">
        <v>27</v>
      </c>
      <c r="E144" s="5"/>
      <c r="F144" s="5" t="s">
        <v>389</v>
      </c>
      <c r="G144" s="5" t="s">
        <v>261</v>
      </c>
      <c r="H144" s="5" t="s">
        <v>959</v>
      </c>
      <c r="I144" s="5" t="s">
        <v>958</v>
      </c>
      <c r="J144" s="5" t="s">
        <v>371</v>
      </c>
      <c r="K144" s="5" t="s">
        <v>372</v>
      </c>
      <c r="L144" s="5" t="s">
        <v>373</v>
      </c>
      <c r="M144" s="5"/>
      <c r="N144" s="5" t="s">
        <v>960</v>
      </c>
      <c r="O144" s="5"/>
      <c r="P144" s="5"/>
      <c r="Q144" s="5" t="s">
        <v>375</v>
      </c>
      <c r="R144" s="5"/>
      <c r="S144" s="5"/>
      <c r="T144" s="5"/>
      <c r="U144" s="5" t="s">
        <v>268</v>
      </c>
      <c r="V144" s="5" t="s">
        <v>269</v>
      </c>
      <c r="W144" s="9">
        <v>45428.7600347222</v>
      </c>
      <c r="X144" s="5"/>
      <c r="Y144" s="5"/>
      <c r="Z144" s="5"/>
      <c r="AA144" s="5"/>
      <c r="AB144" s="5">
        <v>45428.7600347222</v>
      </c>
      <c r="AC144" s="5" t="s">
        <v>269</v>
      </c>
    </row>
    <row r="145" s="1" customFormat="1" ht="17.25" customHeight="1" spans="1:29">
      <c r="A145" s="6" t="s">
        <v>961</v>
      </c>
      <c r="B145" s="6" t="s">
        <v>389</v>
      </c>
      <c r="C145" s="6" t="s">
        <v>259</v>
      </c>
      <c r="D145" s="6" t="s">
        <v>27</v>
      </c>
      <c r="E145" s="6"/>
      <c r="F145" s="6" t="s">
        <v>389</v>
      </c>
      <c r="G145" s="6" t="s">
        <v>261</v>
      </c>
      <c r="H145" s="6" t="s">
        <v>962</v>
      </c>
      <c r="I145" s="6" t="s">
        <v>961</v>
      </c>
      <c r="J145" s="6" t="s">
        <v>371</v>
      </c>
      <c r="K145" s="6" t="s">
        <v>372</v>
      </c>
      <c r="L145" s="6" t="s">
        <v>373</v>
      </c>
      <c r="M145" s="6"/>
      <c r="N145" s="6" t="s">
        <v>963</v>
      </c>
      <c r="O145" s="6"/>
      <c r="P145" s="6"/>
      <c r="Q145" s="6" t="s">
        <v>375</v>
      </c>
      <c r="R145" s="6"/>
      <c r="S145" s="6"/>
      <c r="T145" s="6"/>
      <c r="U145" s="6" t="s">
        <v>268</v>
      </c>
      <c r="V145" s="6" t="s">
        <v>269</v>
      </c>
      <c r="W145" s="10">
        <v>45428.7600347222</v>
      </c>
      <c r="X145" s="6"/>
      <c r="Y145" s="6"/>
      <c r="Z145" s="6"/>
      <c r="AA145" s="6"/>
      <c r="AB145" s="6">
        <v>45428.7600347222</v>
      </c>
      <c r="AC145" s="6" t="s">
        <v>269</v>
      </c>
    </row>
    <row r="146" s="1" customFormat="1" ht="17.25" customHeight="1" spans="1:29">
      <c r="A146" s="5" t="s">
        <v>964</v>
      </c>
      <c r="B146" s="5" t="s">
        <v>389</v>
      </c>
      <c r="C146" s="5" t="s">
        <v>259</v>
      </c>
      <c r="D146" s="5" t="s">
        <v>27</v>
      </c>
      <c r="E146" s="5"/>
      <c r="F146" s="5" t="s">
        <v>389</v>
      </c>
      <c r="G146" s="5" t="s">
        <v>261</v>
      </c>
      <c r="H146" s="5" t="s">
        <v>965</v>
      </c>
      <c r="I146" s="5" t="s">
        <v>964</v>
      </c>
      <c r="J146" s="5" t="s">
        <v>378</v>
      </c>
      <c r="K146" s="5" t="s">
        <v>379</v>
      </c>
      <c r="L146" s="5" t="s">
        <v>966</v>
      </c>
      <c r="M146" s="5"/>
      <c r="N146" s="5" t="s">
        <v>967</v>
      </c>
      <c r="O146" s="5"/>
      <c r="P146" s="5"/>
      <c r="Q146" s="5" t="s">
        <v>968</v>
      </c>
      <c r="R146" s="5"/>
      <c r="S146" s="5"/>
      <c r="T146" s="5"/>
      <c r="U146" s="5" t="s">
        <v>268</v>
      </c>
      <c r="V146" s="5" t="s">
        <v>269</v>
      </c>
      <c r="W146" s="9">
        <v>45428.7600347222</v>
      </c>
      <c r="X146" s="5"/>
      <c r="Y146" s="5"/>
      <c r="Z146" s="5"/>
      <c r="AA146" s="5"/>
      <c r="AB146" s="5">
        <v>45428.7600347222</v>
      </c>
      <c r="AC146" s="5" t="s">
        <v>269</v>
      </c>
    </row>
    <row r="147" s="1" customFormat="1" ht="17.25" customHeight="1" spans="1:29">
      <c r="A147" s="6" t="s">
        <v>969</v>
      </c>
      <c r="B147" s="6" t="s">
        <v>389</v>
      </c>
      <c r="C147" s="6" t="s">
        <v>259</v>
      </c>
      <c r="D147" s="6" t="s">
        <v>27</v>
      </c>
      <c r="E147" s="6"/>
      <c r="F147" s="6" t="s">
        <v>389</v>
      </c>
      <c r="G147" s="6" t="s">
        <v>261</v>
      </c>
      <c r="H147" s="6" t="s">
        <v>970</v>
      </c>
      <c r="I147" s="6" t="s">
        <v>969</v>
      </c>
      <c r="J147" s="6" t="s">
        <v>378</v>
      </c>
      <c r="K147" s="6" t="s">
        <v>379</v>
      </c>
      <c r="L147" s="6" t="s">
        <v>971</v>
      </c>
      <c r="M147" s="6"/>
      <c r="N147" s="6" t="s">
        <v>972</v>
      </c>
      <c r="O147" s="6"/>
      <c r="P147" s="6"/>
      <c r="Q147" s="6" t="s">
        <v>973</v>
      </c>
      <c r="R147" s="6"/>
      <c r="S147" s="6"/>
      <c r="T147" s="6"/>
      <c r="U147" s="6" t="s">
        <v>268</v>
      </c>
      <c r="V147" s="6" t="s">
        <v>269</v>
      </c>
      <c r="W147" s="10">
        <v>45428.7600347222</v>
      </c>
      <c r="X147" s="6"/>
      <c r="Y147" s="6"/>
      <c r="Z147" s="6"/>
      <c r="AA147" s="6"/>
      <c r="AB147" s="6">
        <v>45428.7600347222</v>
      </c>
      <c r="AC147" s="6" t="s">
        <v>269</v>
      </c>
    </row>
    <row r="148" s="1" customFormat="1" ht="17.25" customHeight="1" spans="1:29">
      <c r="A148" s="5" t="s">
        <v>974</v>
      </c>
      <c r="B148" s="5" t="s">
        <v>389</v>
      </c>
      <c r="C148" s="5" t="s">
        <v>259</v>
      </c>
      <c r="D148" s="5" t="s">
        <v>27</v>
      </c>
      <c r="E148" s="5"/>
      <c r="F148" s="5" t="s">
        <v>389</v>
      </c>
      <c r="G148" s="5" t="s">
        <v>261</v>
      </c>
      <c r="H148" s="5" t="s">
        <v>975</v>
      </c>
      <c r="I148" s="5" t="s">
        <v>974</v>
      </c>
      <c r="J148" s="5" t="s">
        <v>378</v>
      </c>
      <c r="K148" s="5" t="s">
        <v>379</v>
      </c>
      <c r="L148" s="5" t="s">
        <v>966</v>
      </c>
      <c r="M148" s="5"/>
      <c r="N148" s="5" t="s">
        <v>976</v>
      </c>
      <c r="O148" s="5"/>
      <c r="P148" s="5"/>
      <c r="Q148" s="5" t="s">
        <v>968</v>
      </c>
      <c r="R148" s="5"/>
      <c r="S148" s="5"/>
      <c r="T148" s="5"/>
      <c r="U148" s="5" t="s">
        <v>268</v>
      </c>
      <c r="V148" s="5" t="s">
        <v>269</v>
      </c>
      <c r="W148" s="9">
        <v>45428.7600347222</v>
      </c>
      <c r="X148" s="5"/>
      <c r="Y148" s="5"/>
      <c r="Z148" s="5"/>
      <c r="AA148" s="5"/>
      <c r="AB148" s="5">
        <v>45428.7600347222</v>
      </c>
      <c r="AC148" s="5" t="s">
        <v>269</v>
      </c>
    </row>
    <row r="149" s="1" customFormat="1" ht="17.25" customHeight="1" spans="1:29">
      <c r="A149" s="6" t="s">
        <v>977</v>
      </c>
      <c r="B149" s="6" t="s">
        <v>389</v>
      </c>
      <c r="C149" s="6" t="s">
        <v>259</v>
      </c>
      <c r="D149" s="6" t="s">
        <v>27</v>
      </c>
      <c r="E149" s="6"/>
      <c r="F149" s="6" t="s">
        <v>389</v>
      </c>
      <c r="G149" s="6" t="s">
        <v>261</v>
      </c>
      <c r="H149" s="6" t="s">
        <v>978</v>
      </c>
      <c r="I149" s="6" t="s">
        <v>977</v>
      </c>
      <c r="J149" s="6" t="s">
        <v>371</v>
      </c>
      <c r="K149" s="6" t="s">
        <v>372</v>
      </c>
      <c r="L149" s="6" t="s">
        <v>911</v>
      </c>
      <c r="M149" s="6"/>
      <c r="N149" s="6" t="s">
        <v>979</v>
      </c>
      <c r="O149" s="6"/>
      <c r="P149" s="6"/>
      <c r="Q149" s="6" t="s">
        <v>980</v>
      </c>
      <c r="R149" s="6"/>
      <c r="S149" s="6"/>
      <c r="T149" s="6"/>
      <c r="U149" s="6" t="s">
        <v>268</v>
      </c>
      <c r="V149" s="6" t="s">
        <v>269</v>
      </c>
      <c r="W149" s="10">
        <v>45428.7600347222</v>
      </c>
      <c r="X149" s="6"/>
      <c r="Y149" s="6"/>
      <c r="Z149" s="6"/>
      <c r="AA149" s="6"/>
      <c r="AB149" s="6">
        <v>45428.7600347222</v>
      </c>
      <c r="AC149" s="6" t="s">
        <v>269</v>
      </c>
    </row>
    <row r="150" s="1" customFormat="1" ht="17.25" customHeight="1" spans="1:29">
      <c r="A150" s="5" t="s">
        <v>981</v>
      </c>
      <c r="B150" s="5" t="s">
        <v>389</v>
      </c>
      <c r="C150" s="5" t="s">
        <v>259</v>
      </c>
      <c r="D150" s="5" t="s">
        <v>27</v>
      </c>
      <c r="E150" s="5"/>
      <c r="F150" s="5" t="s">
        <v>389</v>
      </c>
      <c r="G150" s="5" t="s">
        <v>261</v>
      </c>
      <c r="H150" s="5" t="s">
        <v>982</v>
      </c>
      <c r="I150" s="5" t="s">
        <v>981</v>
      </c>
      <c r="J150" s="5" t="s">
        <v>371</v>
      </c>
      <c r="K150" s="5" t="s">
        <v>372</v>
      </c>
      <c r="L150" s="5" t="s">
        <v>911</v>
      </c>
      <c r="M150" s="5"/>
      <c r="N150" s="5" t="s">
        <v>983</v>
      </c>
      <c r="O150" s="5"/>
      <c r="P150" s="5"/>
      <c r="Q150" s="5" t="s">
        <v>980</v>
      </c>
      <c r="R150" s="5"/>
      <c r="S150" s="5"/>
      <c r="T150" s="5"/>
      <c r="U150" s="5" t="s">
        <v>268</v>
      </c>
      <c r="V150" s="5" t="s">
        <v>269</v>
      </c>
      <c r="W150" s="9">
        <v>45428.7600347222</v>
      </c>
      <c r="X150" s="5"/>
      <c r="Y150" s="5"/>
      <c r="Z150" s="5"/>
      <c r="AA150" s="5"/>
      <c r="AB150" s="5">
        <v>45428.7600347222</v>
      </c>
      <c r="AC150" s="5" t="s">
        <v>269</v>
      </c>
    </row>
    <row r="151" s="1" customFormat="1" ht="17.25" customHeight="1" spans="1:29">
      <c r="A151" s="6" t="s">
        <v>984</v>
      </c>
      <c r="B151" s="6" t="s">
        <v>389</v>
      </c>
      <c r="C151" s="6" t="s">
        <v>259</v>
      </c>
      <c r="D151" s="6" t="s">
        <v>27</v>
      </c>
      <c r="E151" s="6"/>
      <c r="F151" s="6" t="s">
        <v>389</v>
      </c>
      <c r="G151" s="6" t="s">
        <v>261</v>
      </c>
      <c r="H151" s="6" t="s">
        <v>985</v>
      </c>
      <c r="I151" s="6" t="s">
        <v>984</v>
      </c>
      <c r="J151" s="6" t="s">
        <v>422</v>
      </c>
      <c r="K151" s="6" t="s">
        <v>423</v>
      </c>
      <c r="L151" s="6" t="s">
        <v>986</v>
      </c>
      <c r="M151" s="6"/>
      <c r="N151" s="6" t="s">
        <v>987</v>
      </c>
      <c r="O151" s="6"/>
      <c r="P151" s="6"/>
      <c r="Q151" s="6" t="s">
        <v>482</v>
      </c>
      <c r="R151" s="6"/>
      <c r="S151" s="6"/>
      <c r="T151" s="6"/>
      <c r="U151" s="6" t="s">
        <v>268</v>
      </c>
      <c r="V151" s="6" t="s">
        <v>269</v>
      </c>
      <c r="W151" s="10">
        <v>45428.7600347222</v>
      </c>
      <c r="X151" s="6"/>
      <c r="Y151" s="6"/>
      <c r="Z151" s="6"/>
      <c r="AA151" s="6"/>
      <c r="AB151" s="6">
        <v>45428.7600347222</v>
      </c>
      <c r="AC151" s="6" t="s">
        <v>269</v>
      </c>
    </row>
    <row r="152" s="1" customFormat="1" ht="17.25" customHeight="1" spans="1:29">
      <c r="A152" s="5" t="s">
        <v>988</v>
      </c>
      <c r="B152" s="5" t="s">
        <v>389</v>
      </c>
      <c r="C152" s="5" t="s">
        <v>259</v>
      </c>
      <c r="D152" s="5" t="s">
        <v>27</v>
      </c>
      <c r="E152" s="5"/>
      <c r="F152" s="5" t="s">
        <v>389</v>
      </c>
      <c r="G152" s="5" t="s">
        <v>261</v>
      </c>
      <c r="H152" s="5" t="s">
        <v>989</v>
      </c>
      <c r="I152" s="5" t="s">
        <v>988</v>
      </c>
      <c r="J152" s="5" t="s">
        <v>422</v>
      </c>
      <c r="K152" s="5" t="s">
        <v>423</v>
      </c>
      <c r="L152" s="5" t="s">
        <v>990</v>
      </c>
      <c r="M152" s="5"/>
      <c r="N152" s="5" t="s">
        <v>991</v>
      </c>
      <c r="O152" s="5"/>
      <c r="P152" s="5"/>
      <c r="Q152" s="5" t="s">
        <v>473</v>
      </c>
      <c r="R152" s="5"/>
      <c r="S152" s="5"/>
      <c r="T152" s="5"/>
      <c r="U152" s="5" t="s">
        <v>268</v>
      </c>
      <c r="V152" s="5" t="s">
        <v>269</v>
      </c>
      <c r="W152" s="9">
        <v>45428.7600347222</v>
      </c>
      <c r="X152" s="5"/>
      <c r="Y152" s="5"/>
      <c r="Z152" s="5"/>
      <c r="AA152" s="5"/>
      <c r="AB152" s="5">
        <v>45428.7600347222</v>
      </c>
      <c r="AC152" s="5" t="s">
        <v>269</v>
      </c>
    </row>
    <row r="153" s="1" customFormat="1" ht="17.25" customHeight="1" spans="1:29">
      <c r="A153" s="6" t="s">
        <v>992</v>
      </c>
      <c r="B153" s="6" t="s">
        <v>389</v>
      </c>
      <c r="C153" s="6" t="s">
        <v>259</v>
      </c>
      <c r="D153" s="6" t="s">
        <v>27</v>
      </c>
      <c r="E153" s="6"/>
      <c r="F153" s="6" t="s">
        <v>389</v>
      </c>
      <c r="G153" s="6" t="s">
        <v>261</v>
      </c>
      <c r="H153" s="6" t="s">
        <v>993</v>
      </c>
      <c r="I153" s="6" t="s">
        <v>992</v>
      </c>
      <c r="J153" s="6" t="s">
        <v>422</v>
      </c>
      <c r="K153" s="6" t="s">
        <v>423</v>
      </c>
      <c r="L153" s="6" t="s">
        <v>986</v>
      </c>
      <c r="M153" s="6"/>
      <c r="N153" s="6" t="s">
        <v>994</v>
      </c>
      <c r="O153" s="6"/>
      <c r="P153" s="6"/>
      <c r="Q153" s="6" t="s">
        <v>482</v>
      </c>
      <c r="R153" s="6"/>
      <c r="S153" s="6"/>
      <c r="T153" s="6"/>
      <c r="U153" s="6" t="s">
        <v>268</v>
      </c>
      <c r="V153" s="6" t="s">
        <v>269</v>
      </c>
      <c r="W153" s="10">
        <v>45428.7600347222</v>
      </c>
      <c r="X153" s="6"/>
      <c r="Y153" s="6"/>
      <c r="Z153" s="6"/>
      <c r="AA153" s="6"/>
      <c r="AB153" s="6">
        <v>45428.7600347222</v>
      </c>
      <c r="AC153" s="6" t="s">
        <v>269</v>
      </c>
    </row>
    <row r="154" s="1" customFormat="1" ht="17.25" customHeight="1" spans="1:29">
      <c r="A154" s="5" t="s">
        <v>995</v>
      </c>
      <c r="B154" s="5" t="s">
        <v>389</v>
      </c>
      <c r="C154" s="5" t="s">
        <v>259</v>
      </c>
      <c r="D154" s="5" t="s">
        <v>27</v>
      </c>
      <c r="E154" s="5"/>
      <c r="F154" s="5" t="s">
        <v>389</v>
      </c>
      <c r="G154" s="5" t="s">
        <v>261</v>
      </c>
      <c r="H154" s="5" t="s">
        <v>996</v>
      </c>
      <c r="I154" s="5" t="s">
        <v>995</v>
      </c>
      <c r="J154" s="5" t="s">
        <v>422</v>
      </c>
      <c r="K154" s="5" t="s">
        <v>423</v>
      </c>
      <c r="L154" s="5" t="s">
        <v>986</v>
      </c>
      <c r="M154" s="5"/>
      <c r="N154" s="5" t="s">
        <v>997</v>
      </c>
      <c r="O154" s="5"/>
      <c r="P154" s="5"/>
      <c r="Q154" s="5" t="s">
        <v>482</v>
      </c>
      <c r="R154" s="5"/>
      <c r="S154" s="5"/>
      <c r="T154" s="5"/>
      <c r="U154" s="5" t="s">
        <v>268</v>
      </c>
      <c r="V154" s="5" t="s">
        <v>269</v>
      </c>
      <c r="W154" s="9">
        <v>45428.7600347222</v>
      </c>
      <c r="X154" s="5"/>
      <c r="Y154" s="5"/>
      <c r="Z154" s="5"/>
      <c r="AA154" s="5"/>
      <c r="AB154" s="5">
        <v>45428.7600347222</v>
      </c>
      <c r="AC154" s="5" t="s">
        <v>269</v>
      </c>
    </row>
    <row r="155" s="1" customFormat="1" ht="17.25" customHeight="1" spans="1:29">
      <c r="A155" s="6" t="s">
        <v>998</v>
      </c>
      <c r="B155" s="6" t="s">
        <v>389</v>
      </c>
      <c r="C155" s="6" t="s">
        <v>259</v>
      </c>
      <c r="D155" s="6" t="s">
        <v>27</v>
      </c>
      <c r="E155" s="6"/>
      <c r="F155" s="6" t="s">
        <v>389</v>
      </c>
      <c r="G155" s="6" t="s">
        <v>261</v>
      </c>
      <c r="H155" s="6" t="s">
        <v>999</v>
      </c>
      <c r="I155" s="6" t="s">
        <v>998</v>
      </c>
      <c r="J155" s="6" t="s">
        <v>378</v>
      </c>
      <c r="K155" s="6" t="s">
        <v>379</v>
      </c>
      <c r="L155" s="6" t="s">
        <v>1000</v>
      </c>
      <c r="M155" s="6"/>
      <c r="N155" s="6" t="s">
        <v>1001</v>
      </c>
      <c r="O155" s="6"/>
      <c r="P155" s="6"/>
      <c r="Q155" s="6" t="s">
        <v>1002</v>
      </c>
      <c r="R155" s="6"/>
      <c r="S155" s="6"/>
      <c r="T155" s="6"/>
      <c r="U155" s="6" t="s">
        <v>268</v>
      </c>
      <c r="V155" s="6" t="s">
        <v>269</v>
      </c>
      <c r="W155" s="10">
        <v>45428.7600347222</v>
      </c>
      <c r="X155" s="6"/>
      <c r="Y155" s="6"/>
      <c r="Z155" s="6"/>
      <c r="AA155" s="6"/>
      <c r="AB155" s="6">
        <v>45428.7600347222</v>
      </c>
      <c r="AC155" s="6" t="s">
        <v>269</v>
      </c>
    </row>
    <row r="156" s="1" customFormat="1" ht="17.25" customHeight="1" spans="1:29">
      <c r="A156" s="5" t="s">
        <v>1003</v>
      </c>
      <c r="B156" s="5" t="s">
        <v>389</v>
      </c>
      <c r="C156" s="5" t="s">
        <v>259</v>
      </c>
      <c r="D156" s="5" t="s">
        <v>27</v>
      </c>
      <c r="E156" s="5"/>
      <c r="F156" s="5" t="s">
        <v>389</v>
      </c>
      <c r="G156" s="5" t="s">
        <v>261</v>
      </c>
      <c r="H156" s="5" t="s">
        <v>1004</v>
      </c>
      <c r="I156" s="5" t="s">
        <v>1003</v>
      </c>
      <c r="J156" s="5" t="s">
        <v>378</v>
      </c>
      <c r="K156" s="5" t="s">
        <v>379</v>
      </c>
      <c r="L156" s="5" t="s">
        <v>1005</v>
      </c>
      <c r="M156" s="5"/>
      <c r="N156" s="5" t="s">
        <v>1006</v>
      </c>
      <c r="O156" s="5"/>
      <c r="P156" s="5"/>
      <c r="Q156" s="5" t="s">
        <v>1007</v>
      </c>
      <c r="R156" s="5"/>
      <c r="S156" s="5"/>
      <c r="T156" s="5"/>
      <c r="U156" s="5" t="s">
        <v>268</v>
      </c>
      <c r="V156" s="5" t="s">
        <v>269</v>
      </c>
      <c r="W156" s="9">
        <v>45428.7600347222</v>
      </c>
      <c r="X156" s="5"/>
      <c r="Y156" s="5"/>
      <c r="Z156" s="5"/>
      <c r="AA156" s="5"/>
      <c r="AB156" s="5">
        <v>45428.7600347222</v>
      </c>
      <c r="AC156" s="5" t="s">
        <v>269</v>
      </c>
    </row>
    <row r="157" s="1" customFormat="1" ht="17.25" customHeight="1" spans="1:29">
      <c r="A157" s="6" t="s">
        <v>1008</v>
      </c>
      <c r="B157" s="6" t="s">
        <v>389</v>
      </c>
      <c r="C157" s="6" t="s">
        <v>259</v>
      </c>
      <c r="D157" s="6" t="s">
        <v>27</v>
      </c>
      <c r="E157" s="6"/>
      <c r="F157" s="6" t="s">
        <v>389</v>
      </c>
      <c r="G157" s="6" t="s">
        <v>261</v>
      </c>
      <c r="H157" s="6" t="s">
        <v>1009</v>
      </c>
      <c r="I157" s="6" t="s">
        <v>1008</v>
      </c>
      <c r="J157" s="6" t="s">
        <v>338</v>
      </c>
      <c r="K157" s="6" t="s">
        <v>339</v>
      </c>
      <c r="L157" s="6" t="s">
        <v>1010</v>
      </c>
      <c r="M157" s="6"/>
      <c r="N157" s="6" t="s">
        <v>1011</v>
      </c>
      <c r="O157" s="6"/>
      <c r="P157" s="6"/>
      <c r="Q157" s="6" t="s">
        <v>1012</v>
      </c>
      <c r="R157" s="6"/>
      <c r="S157" s="6"/>
      <c r="T157" s="6"/>
      <c r="U157" s="6" t="s">
        <v>268</v>
      </c>
      <c r="V157" s="6" t="s">
        <v>269</v>
      </c>
      <c r="W157" s="10">
        <v>45428.7600347222</v>
      </c>
      <c r="X157" s="6"/>
      <c r="Y157" s="6"/>
      <c r="Z157" s="6"/>
      <c r="AA157" s="6"/>
      <c r="AB157" s="6">
        <v>45428.7600347222</v>
      </c>
      <c r="AC157" s="6" t="s">
        <v>269</v>
      </c>
    </row>
    <row r="158" s="1" customFormat="1" ht="17.25" customHeight="1" spans="1:29">
      <c r="A158" s="5" t="s">
        <v>1013</v>
      </c>
      <c r="B158" s="5" t="s">
        <v>389</v>
      </c>
      <c r="C158" s="5" t="s">
        <v>259</v>
      </c>
      <c r="D158" s="5" t="s">
        <v>27</v>
      </c>
      <c r="E158" s="5"/>
      <c r="F158" s="5" t="s">
        <v>389</v>
      </c>
      <c r="G158" s="5" t="s">
        <v>261</v>
      </c>
      <c r="H158" s="5" t="s">
        <v>1014</v>
      </c>
      <c r="I158" s="5" t="s">
        <v>1013</v>
      </c>
      <c r="J158" s="5" t="s">
        <v>378</v>
      </c>
      <c r="K158" s="5" t="s">
        <v>379</v>
      </c>
      <c r="L158" s="5" t="s">
        <v>1015</v>
      </c>
      <c r="M158" s="5"/>
      <c r="N158" s="5" t="s">
        <v>1016</v>
      </c>
      <c r="O158" s="5"/>
      <c r="P158" s="5"/>
      <c r="Q158" s="5" t="s">
        <v>1017</v>
      </c>
      <c r="R158" s="5"/>
      <c r="S158" s="5"/>
      <c r="T158" s="5"/>
      <c r="U158" s="5" t="s">
        <v>268</v>
      </c>
      <c r="V158" s="5" t="s">
        <v>269</v>
      </c>
      <c r="W158" s="9">
        <v>45603.4913425926</v>
      </c>
      <c r="X158" s="5"/>
      <c r="Y158" s="5"/>
      <c r="Z158" s="5"/>
      <c r="AA158" s="5"/>
      <c r="AB158" s="5">
        <v>45428.7600347222</v>
      </c>
      <c r="AC158" s="5" t="s">
        <v>902</v>
      </c>
    </row>
    <row r="159" s="1" customFormat="1" ht="17.25" customHeight="1" spans="1:29">
      <c r="A159" s="6" t="s">
        <v>1018</v>
      </c>
      <c r="B159" s="6" t="s">
        <v>389</v>
      </c>
      <c r="C159" s="6" t="s">
        <v>259</v>
      </c>
      <c r="D159" s="6" t="s">
        <v>27</v>
      </c>
      <c r="E159" s="6"/>
      <c r="F159" s="6" t="s">
        <v>389</v>
      </c>
      <c r="G159" s="6" t="s">
        <v>261</v>
      </c>
      <c r="H159" s="6" t="s">
        <v>1019</v>
      </c>
      <c r="I159" s="6" t="s">
        <v>1018</v>
      </c>
      <c r="J159" s="6" t="s">
        <v>856</v>
      </c>
      <c r="K159" s="6" t="s">
        <v>857</v>
      </c>
      <c r="L159" s="6" t="s">
        <v>1020</v>
      </c>
      <c r="M159" s="6"/>
      <c r="N159" s="6" t="s">
        <v>1021</v>
      </c>
      <c r="O159" s="6"/>
      <c r="P159" s="6"/>
      <c r="Q159" s="6" t="s">
        <v>1022</v>
      </c>
      <c r="R159" s="6"/>
      <c r="S159" s="6"/>
      <c r="T159" s="6"/>
      <c r="U159" s="6" t="s">
        <v>268</v>
      </c>
      <c r="V159" s="6" t="s">
        <v>269</v>
      </c>
      <c r="W159" s="10">
        <v>45428.7600347222</v>
      </c>
      <c r="X159" s="6"/>
      <c r="Y159" s="6"/>
      <c r="Z159" s="6"/>
      <c r="AA159" s="6"/>
      <c r="AB159" s="6">
        <v>45428.7600347222</v>
      </c>
      <c r="AC159" s="6" t="s">
        <v>269</v>
      </c>
    </row>
    <row r="160" s="1" customFormat="1" ht="17.25" customHeight="1" spans="1:29">
      <c r="A160" s="5" t="s">
        <v>1023</v>
      </c>
      <c r="B160" s="5" t="s">
        <v>389</v>
      </c>
      <c r="C160" s="5" t="s">
        <v>259</v>
      </c>
      <c r="D160" s="5" t="s">
        <v>27</v>
      </c>
      <c r="E160" s="5"/>
      <c r="F160" s="5" t="s">
        <v>389</v>
      </c>
      <c r="G160" s="5" t="s">
        <v>261</v>
      </c>
      <c r="H160" s="5" t="s">
        <v>1024</v>
      </c>
      <c r="I160" s="5" t="s">
        <v>1023</v>
      </c>
      <c r="J160" s="5" t="s">
        <v>856</v>
      </c>
      <c r="K160" s="5" t="s">
        <v>857</v>
      </c>
      <c r="L160" s="5" t="s">
        <v>1025</v>
      </c>
      <c r="M160" s="5"/>
      <c r="N160" s="5" t="s">
        <v>1026</v>
      </c>
      <c r="O160" s="5"/>
      <c r="P160" s="5"/>
      <c r="Q160" s="5" t="s">
        <v>1027</v>
      </c>
      <c r="R160" s="5"/>
      <c r="S160" s="5"/>
      <c r="T160" s="5"/>
      <c r="U160" s="5" t="s">
        <v>268</v>
      </c>
      <c r="V160" s="5" t="s">
        <v>269</v>
      </c>
      <c r="W160" s="9">
        <v>45428.7600347222</v>
      </c>
      <c r="X160" s="5"/>
      <c r="Y160" s="5"/>
      <c r="Z160" s="5"/>
      <c r="AA160" s="5"/>
      <c r="AB160" s="5">
        <v>45428.7600347222</v>
      </c>
      <c r="AC160" s="5" t="s">
        <v>269</v>
      </c>
    </row>
    <row r="161" s="1" customFormat="1" ht="17.25" customHeight="1" spans="1:29">
      <c r="A161" s="6" t="s">
        <v>1028</v>
      </c>
      <c r="B161" s="6" t="s">
        <v>389</v>
      </c>
      <c r="C161" s="6" t="s">
        <v>259</v>
      </c>
      <c r="D161" s="6" t="s">
        <v>27</v>
      </c>
      <c r="E161" s="6"/>
      <c r="F161" s="6" t="s">
        <v>389</v>
      </c>
      <c r="G161" s="6" t="s">
        <v>261</v>
      </c>
      <c r="H161" s="6" t="s">
        <v>1029</v>
      </c>
      <c r="I161" s="6" t="s">
        <v>1028</v>
      </c>
      <c r="J161" s="6" t="s">
        <v>530</v>
      </c>
      <c r="K161" s="6" t="s">
        <v>531</v>
      </c>
      <c r="L161" s="6" t="s">
        <v>1030</v>
      </c>
      <c r="M161" s="6"/>
      <c r="N161" s="6" t="s">
        <v>1031</v>
      </c>
      <c r="O161" s="6"/>
      <c r="P161" s="6"/>
      <c r="Q161" s="6" t="s">
        <v>1032</v>
      </c>
      <c r="R161" s="6"/>
      <c r="S161" s="6"/>
      <c r="T161" s="6"/>
      <c r="U161" s="6" t="s">
        <v>268</v>
      </c>
      <c r="V161" s="6" t="s">
        <v>269</v>
      </c>
      <c r="W161" s="10">
        <v>45428.7600347222</v>
      </c>
      <c r="X161" s="6"/>
      <c r="Y161" s="6"/>
      <c r="Z161" s="6"/>
      <c r="AA161" s="6"/>
      <c r="AB161" s="6">
        <v>45428.7600347222</v>
      </c>
      <c r="AC161" s="6" t="s">
        <v>269</v>
      </c>
    </row>
    <row r="162" s="1" customFormat="1" ht="17.25" customHeight="1" spans="1:29">
      <c r="A162" s="5" t="s">
        <v>1033</v>
      </c>
      <c r="B162" s="5" t="s">
        <v>389</v>
      </c>
      <c r="C162" s="5" t="s">
        <v>259</v>
      </c>
      <c r="D162" s="5" t="s">
        <v>27</v>
      </c>
      <c r="E162" s="5"/>
      <c r="F162" s="5" t="s">
        <v>389</v>
      </c>
      <c r="G162" s="5" t="s">
        <v>261</v>
      </c>
      <c r="H162" s="5" t="s">
        <v>1034</v>
      </c>
      <c r="I162" s="5" t="s">
        <v>1033</v>
      </c>
      <c r="J162" s="5" t="s">
        <v>530</v>
      </c>
      <c r="K162" s="5" t="s">
        <v>531</v>
      </c>
      <c r="L162" s="5" t="s">
        <v>1030</v>
      </c>
      <c r="M162" s="5"/>
      <c r="N162" s="5" t="s">
        <v>1035</v>
      </c>
      <c r="O162" s="5"/>
      <c r="P162" s="5"/>
      <c r="Q162" s="5" t="s">
        <v>1032</v>
      </c>
      <c r="R162" s="5"/>
      <c r="S162" s="5"/>
      <c r="T162" s="5"/>
      <c r="U162" s="5" t="s">
        <v>268</v>
      </c>
      <c r="V162" s="5" t="s">
        <v>269</v>
      </c>
      <c r="W162" s="9">
        <v>45428.7600347222</v>
      </c>
      <c r="X162" s="5"/>
      <c r="Y162" s="5"/>
      <c r="Z162" s="5"/>
      <c r="AA162" s="5"/>
      <c r="AB162" s="5">
        <v>45428.7600347222</v>
      </c>
      <c r="AC162" s="5" t="s">
        <v>269</v>
      </c>
    </row>
    <row r="163" s="1" customFormat="1" ht="17.25" customHeight="1" spans="1:29">
      <c r="A163" s="6" t="s">
        <v>1036</v>
      </c>
      <c r="B163" s="6" t="s">
        <v>389</v>
      </c>
      <c r="C163" s="6" t="s">
        <v>259</v>
      </c>
      <c r="D163" s="6" t="s">
        <v>27</v>
      </c>
      <c r="E163" s="6"/>
      <c r="F163" s="6" t="s">
        <v>389</v>
      </c>
      <c r="G163" s="6" t="s">
        <v>261</v>
      </c>
      <c r="H163" s="6" t="s">
        <v>1037</v>
      </c>
      <c r="I163" s="6" t="s">
        <v>1036</v>
      </c>
      <c r="J163" s="6" t="s">
        <v>433</v>
      </c>
      <c r="K163" s="6" t="s">
        <v>434</v>
      </c>
      <c r="L163" s="6" t="s">
        <v>1038</v>
      </c>
      <c r="M163" s="6"/>
      <c r="N163" s="6" t="s">
        <v>1039</v>
      </c>
      <c r="O163" s="6"/>
      <c r="P163" s="6"/>
      <c r="Q163" s="6" t="s">
        <v>1040</v>
      </c>
      <c r="R163" s="6"/>
      <c r="S163" s="6"/>
      <c r="T163" s="6"/>
      <c r="U163" s="6" t="s">
        <v>268</v>
      </c>
      <c r="V163" s="6" t="s">
        <v>269</v>
      </c>
      <c r="W163" s="10">
        <v>45428.7600347222</v>
      </c>
      <c r="X163" s="6"/>
      <c r="Y163" s="6"/>
      <c r="Z163" s="6"/>
      <c r="AA163" s="6"/>
      <c r="AB163" s="6">
        <v>45428.7600347222</v>
      </c>
      <c r="AC163" s="6" t="s">
        <v>269</v>
      </c>
    </row>
    <row r="164" s="1" customFormat="1" ht="17.25" customHeight="1" spans="1:29">
      <c r="A164" s="5" t="s">
        <v>1041</v>
      </c>
      <c r="B164" s="5" t="s">
        <v>389</v>
      </c>
      <c r="C164" s="5" t="s">
        <v>259</v>
      </c>
      <c r="D164" s="5" t="s">
        <v>27</v>
      </c>
      <c r="E164" s="5"/>
      <c r="F164" s="5" t="s">
        <v>389</v>
      </c>
      <c r="G164" s="5" t="s">
        <v>261</v>
      </c>
      <c r="H164" s="5" t="s">
        <v>1042</v>
      </c>
      <c r="I164" s="5" t="s">
        <v>1041</v>
      </c>
      <c r="J164" s="5" t="s">
        <v>290</v>
      </c>
      <c r="K164" s="5" t="s">
        <v>291</v>
      </c>
      <c r="L164" s="5" t="s">
        <v>1043</v>
      </c>
      <c r="M164" s="5"/>
      <c r="N164" s="5" t="s">
        <v>1044</v>
      </c>
      <c r="O164" s="5"/>
      <c r="P164" s="5"/>
      <c r="Q164" s="5" t="s">
        <v>1045</v>
      </c>
      <c r="R164" s="5"/>
      <c r="S164" s="5"/>
      <c r="T164" s="5"/>
      <c r="U164" s="5" t="s">
        <v>268</v>
      </c>
      <c r="V164" s="5" t="s">
        <v>269</v>
      </c>
      <c r="W164" s="9">
        <v>45428.7600347222</v>
      </c>
      <c r="X164" s="5"/>
      <c r="Y164" s="5"/>
      <c r="Z164" s="5"/>
      <c r="AA164" s="5"/>
      <c r="AB164" s="5">
        <v>45428.7600347222</v>
      </c>
      <c r="AC164" s="5" t="s">
        <v>269</v>
      </c>
    </row>
    <row r="165" s="1" customFormat="1" ht="17.25" customHeight="1" spans="1:29">
      <c r="A165" s="6" t="s">
        <v>1046</v>
      </c>
      <c r="B165" s="6" t="s">
        <v>389</v>
      </c>
      <c r="C165" s="6" t="s">
        <v>259</v>
      </c>
      <c r="D165" s="6" t="s">
        <v>27</v>
      </c>
      <c r="E165" s="6"/>
      <c r="F165" s="6" t="s">
        <v>389</v>
      </c>
      <c r="G165" s="6" t="s">
        <v>261</v>
      </c>
      <c r="H165" s="6" t="s">
        <v>1047</v>
      </c>
      <c r="I165" s="6" t="s">
        <v>1046</v>
      </c>
      <c r="J165" s="6" t="s">
        <v>856</v>
      </c>
      <c r="K165" s="6" t="s">
        <v>857</v>
      </c>
      <c r="L165" s="6" t="s">
        <v>1048</v>
      </c>
      <c r="M165" s="6"/>
      <c r="N165" s="6" t="s">
        <v>1049</v>
      </c>
      <c r="O165" s="6"/>
      <c r="P165" s="6"/>
      <c r="Q165" s="6" t="s">
        <v>1050</v>
      </c>
      <c r="R165" s="6"/>
      <c r="S165" s="6"/>
      <c r="T165" s="6"/>
      <c r="U165" s="6" t="s">
        <v>268</v>
      </c>
      <c r="V165" s="6" t="s">
        <v>269</v>
      </c>
      <c r="W165" s="10">
        <v>45428.7600347222</v>
      </c>
      <c r="X165" s="6"/>
      <c r="Y165" s="6"/>
      <c r="Z165" s="6"/>
      <c r="AA165" s="6"/>
      <c r="AB165" s="6">
        <v>45428.7600347222</v>
      </c>
      <c r="AC165" s="6" t="s">
        <v>269</v>
      </c>
    </row>
    <row r="166" s="1" customFormat="1" ht="17.25" customHeight="1" spans="1:29">
      <c r="A166" s="5" t="s">
        <v>1051</v>
      </c>
      <c r="B166" s="5" t="s">
        <v>389</v>
      </c>
      <c r="C166" s="5" t="s">
        <v>259</v>
      </c>
      <c r="D166" s="5" t="s">
        <v>27</v>
      </c>
      <c r="E166" s="5"/>
      <c r="F166" s="5" t="s">
        <v>389</v>
      </c>
      <c r="G166" s="5" t="s">
        <v>261</v>
      </c>
      <c r="H166" s="5" t="s">
        <v>1052</v>
      </c>
      <c r="I166" s="5" t="s">
        <v>1051</v>
      </c>
      <c r="J166" s="5" t="s">
        <v>856</v>
      </c>
      <c r="K166" s="5" t="s">
        <v>857</v>
      </c>
      <c r="L166" s="5" t="s">
        <v>1053</v>
      </c>
      <c r="M166" s="5"/>
      <c r="N166" s="5" t="s">
        <v>1054</v>
      </c>
      <c r="O166" s="5"/>
      <c r="P166" s="5"/>
      <c r="Q166" s="5" t="s">
        <v>1055</v>
      </c>
      <c r="R166" s="5"/>
      <c r="S166" s="5"/>
      <c r="T166" s="5"/>
      <c r="U166" s="5" t="s">
        <v>268</v>
      </c>
      <c r="V166" s="5" t="s">
        <v>269</v>
      </c>
      <c r="W166" s="9">
        <v>45428.7600347222</v>
      </c>
      <c r="X166" s="5"/>
      <c r="Y166" s="5"/>
      <c r="Z166" s="5"/>
      <c r="AA166" s="5"/>
      <c r="AB166" s="5">
        <v>45428.7600347222</v>
      </c>
      <c r="AC166" s="5" t="s">
        <v>269</v>
      </c>
    </row>
    <row r="167" s="1" customFormat="1" ht="17.25" customHeight="1" spans="1:29">
      <c r="A167" s="6" t="s">
        <v>1056</v>
      </c>
      <c r="B167" s="6" t="s">
        <v>389</v>
      </c>
      <c r="C167" s="6" t="s">
        <v>259</v>
      </c>
      <c r="D167" s="6" t="s">
        <v>27</v>
      </c>
      <c r="E167" s="6"/>
      <c r="F167" s="6" t="s">
        <v>389</v>
      </c>
      <c r="G167" s="6" t="s">
        <v>261</v>
      </c>
      <c r="H167" s="6" t="s">
        <v>1057</v>
      </c>
      <c r="I167" s="6" t="s">
        <v>1056</v>
      </c>
      <c r="J167" s="6" t="s">
        <v>856</v>
      </c>
      <c r="K167" s="6" t="s">
        <v>857</v>
      </c>
      <c r="L167" s="6" t="s">
        <v>1058</v>
      </c>
      <c r="M167" s="6"/>
      <c r="N167" s="6" t="s">
        <v>1059</v>
      </c>
      <c r="O167" s="6"/>
      <c r="P167" s="6"/>
      <c r="Q167" s="6" t="s">
        <v>1050</v>
      </c>
      <c r="R167" s="6"/>
      <c r="S167" s="6"/>
      <c r="T167" s="6"/>
      <c r="U167" s="6" t="s">
        <v>268</v>
      </c>
      <c r="V167" s="6" t="s">
        <v>269</v>
      </c>
      <c r="W167" s="10">
        <v>45428.7600347222</v>
      </c>
      <c r="X167" s="6"/>
      <c r="Y167" s="6"/>
      <c r="Z167" s="6"/>
      <c r="AA167" s="6"/>
      <c r="AB167" s="6">
        <v>45428.7600347222</v>
      </c>
      <c r="AC167" s="6" t="s">
        <v>269</v>
      </c>
    </row>
    <row r="168" s="1" customFormat="1" ht="17.25" customHeight="1" spans="1:29">
      <c r="A168" s="5" t="s">
        <v>1060</v>
      </c>
      <c r="B168" s="5" t="s">
        <v>389</v>
      </c>
      <c r="C168" s="5" t="s">
        <v>259</v>
      </c>
      <c r="D168" s="5" t="s">
        <v>27</v>
      </c>
      <c r="E168" s="5"/>
      <c r="F168" s="5" t="s">
        <v>389</v>
      </c>
      <c r="G168" s="5" t="s">
        <v>261</v>
      </c>
      <c r="H168" s="5" t="s">
        <v>1061</v>
      </c>
      <c r="I168" s="5" t="s">
        <v>1060</v>
      </c>
      <c r="J168" s="5" t="s">
        <v>290</v>
      </c>
      <c r="K168" s="5" t="s">
        <v>291</v>
      </c>
      <c r="L168" s="5" t="s">
        <v>1062</v>
      </c>
      <c r="M168" s="5"/>
      <c r="N168" s="5" t="s">
        <v>1063</v>
      </c>
      <c r="O168" s="5"/>
      <c r="P168" s="5"/>
      <c r="Q168" s="5" t="s">
        <v>1064</v>
      </c>
      <c r="R168" s="5"/>
      <c r="S168" s="5"/>
      <c r="T168" s="5"/>
      <c r="U168" s="5" t="s">
        <v>268</v>
      </c>
      <c r="V168" s="5" t="s">
        <v>269</v>
      </c>
      <c r="W168" s="9">
        <v>45428.7600347222</v>
      </c>
      <c r="X168" s="5"/>
      <c r="Y168" s="5"/>
      <c r="Z168" s="5"/>
      <c r="AA168" s="5"/>
      <c r="AB168" s="5">
        <v>45428.7600347222</v>
      </c>
      <c r="AC168" s="5" t="s">
        <v>269</v>
      </c>
    </row>
    <row r="169" s="1" customFormat="1" ht="17.25" customHeight="1" spans="1:29">
      <c r="A169" s="6" t="s">
        <v>1065</v>
      </c>
      <c r="B169" s="6" t="s">
        <v>389</v>
      </c>
      <c r="C169" s="6" t="s">
        <v>259</v>
      </c>
      <c r="D169" s="6" t="s">
        <v>27</v>
      </c>
      <c r="E169" s="6"/>
      <c r="F169" s="6" t="s">
        <v>389</v>
      </c>
      <c r="G169" s="6" t="s">
        <v>261</v>
      </c>
      <c r="H169" s="6" t="s">
        <v>1066</v>
      </c>
      <c r="I169" s="6" t="s">
        <v>1065</v>
      </c>
      <c r="J169" s="6" t="s">
        <v>290</v>
      </c>
      <c r="K169" s="6" t="s">
        <v>291</v>
      </c>
      <c r="L169" s="6" t="s">
        <v>1067</v>
      </c>
      <c r="M169" s="6"/>
      <c r="N169" s="6" t="s">
        <v>1068</v>
      </c>
      <c r="O169" s="6"/>
      <c r="P169" s="6"/>
      <c r="Q169" s="6" t="s">
        <v>1069</v>
      </c>
      <c r="R169" s="6"/>
      <c r="S169" s="6"/>
      <c r="T169" s="6"/>
      <c r="U169" s="6" t="s">
        <v>268</v>
      </c>
      <c r="V169" s="6" t="s">
        <v>269</v>
      </c>
      <c r="W169" s="10">
        <v>45428.7600347222</v>
      </c>
      <c r="X169" s="6"/>
      <c r="Y169" s="6"/>
      <c r="Z169" s="6"/>
      <c r="AA169" s="6"/>
      <c r="AB169" s="6">
        <v>45428.7600347222</v>
      </c>
      <c r="AC169" s="6" t="s">
        <v>269</v>
      </c>
    </row>
    <row r="170" s="1" customFormat="1" ht="17.25" customHeight="1" spans="1:29">
      <c r="A170" s="5" t="s">
        <v>1070</v>
      </c>
      <c r="B170" s="5" t="s">
        <v>389</v>
      </c>
      <c r="C170" s="5" t="s">
        <v>259</v>
      </c>
      <c r="D170" s="5" t="s">
        <v>27</v>
      </c>
      <c r="E170" s="5"/>
      <c r="F170" s="5" t="s">
        <v>389</v>
      </c>
      <c r="G170" s="5" t="s">
        <v>261</v>
      </c>
      <c r="H170" s="5" t="s">
        <v>1071</v>
      </c>
      <c r="I170" s="5" t="s">
        <v>1070</v>
      </c>
      <c r="J170" s="5" t="s">
        <v>290</v>
      </c>
      <c r="K170" s="5" t="s">
        <v>291</v>
      </c>
      <c r="L170" s="5" t="s">
        <v>292</v>
      </c>
      <c r="M170" s="5"/>
      <c r="N170" s="5" t="s">
        <v>578</v>
      </c>
      <c r="O170" s="5"/>
      <c r="P170" s="5"/>
      <c r="Q170" s="5" t="s">
        <v>294</v>
      </c>
      <c r="R170" s="5"/>
      <c r="S170" s="5"/>
      <c r="T170" s="5"/>
      <c r="U170" s="5" t="s">
        <v>268</v>
      </c>
      <c r="V170" s="5" t="s">
        <v>269</v>
      </c>
      <c r="W170" s="9">
        <v>45428.7600347222</v>
      </c>
      <c r="X170" s="5"/>
      <c r="Y170" s="5"/>
      <c r="Z170" s="5"/>
      <c r="AA170" s="5"/>
      <c r="AB170" s="5">
        <v>45428.7600347222</v>
      </c>
      <c r="AC170" s="5" t="s">
        <v>269</v>
      </c>
    </row>
    <row r="171" s="1" customFormat="1" ht="17.25" customHeight="1" spans="1:29">
      <c r="A171" s="6" t="s">
        <v>1072</v>
      </c>
      <c r="B171" s="6" t="s">
        <v>389</v>
      </c>
      <c r="C171" s="6" t="s">
        <v>259</v>
      </c>
      <c r="D171" s="6" t="s">
        <v>27</v>
      </c>
      <c r="E171" s="6"/>
      <c r="F171" s="6" t="s">
        <v>389</v>
      </c>
      <c r="G171" s="6" t="s">
        <v>261</v>
      </c>
      <c r="H171" s="6" t="s">
        <v>1073</v>
      </c>
      <c r="I171" s="6" t="s">
        <v>1072</v>
      </c>
      <c r="J171" s="6" t="s">
        <v>433</v>
      </c>
      <c r="K171" s="6" t="s">
        <v>434</v>
      </c>
      <c r="L171" s="6" t="s">
        <v>1074</v>
      </c>
      <c r="M171" s="6"/>
      <c r="N171" s="6" t="s">
        <v>1075</v>
      </c>
      <c r="O171" s="6"/>
      <c r="P171" s="6"/>
      <c r="Q171" s="6" t="s">
        <v>437</v>
      </c>
      <c r="R171" s="6"/>
      <c r="S171" s="6"/>
      <c r="T171" s="6"/>
      <c r="U171" s="6" t="s">
        <v>268</v>
      </c>
      <c r="V171" s="6" t="s">
        <v>269</v>
      </c>
      <c r="W171" s="10">
        <v>45428.7600347222</v>
      </c>
      <c r="X171" s="6"/>
      <c r="Y171" s="6"/>
      <c r="Z171" s="6"/>
      <c r="AA171" s="6"/>
      <c r="AB171" s="6">
        <v>45428.7600347222</v>
      </c>
      <c r="AC171" s="6" t="s">
        <v>269</v>
      </c>
    </row>
    <row r="172" s="1" customFormat="1" ht="17.25" customHeight="1" spans="1:29">
      <c r="A172" s="5" t="s">
        <v>1076</v>
      </c>
      <c r="B172" s="5" t="s">
        <v>389</v>
      </c>
      <c r="C172" s="5" t="s">
        <v>259</v>
      </c>
      <c r="D172" s="5" t="s">
        <v>27</v>
      </c>
      <c r="E172" s="5"/>
      <c r="F172" s="5" t="s">
        <v>389</v>
      </c>
      <c r="G172" s="5" t="s">
        <v>261</v>
      </c>
      <c r="H172" s="5" t="s">
        <v>1077</v>
      </c>
      <c r="I172" s="5" t="s">
        <v>1076</v>
      </c>
      <c r="J172" s="5" t="s">
        <v>433</v>
      </c>
      <c r="K172" s="5" t="s">
        <v>434</v>
      </c>
      <c r="L172" s="5" t="s">
        <v>1078</v>
      </c>
      <c r="M172" s="5"/>
      <c r="N172" s="5" t="s">
        <v>1079</v>
      </c>
      <c r="O172" s="5"/>
      <c r="P172" s="5"/>
      <c r="Q172" s="5" t="s">
        <v>1080</v>
      </c>
      <c r="R172" s="5"/>
      <c r="S172" s="5"/>
      <c r="T172" s="5"/>
      <c r="U172" s="5" t="s">
        <v>268</v>
      </c>
      <c r="V172" s="5" t="s">
        <v>269</v>
      </c>
      <c r="W172" s="9">
        <v>45428.7600347222</v>
      </c>
      <c r="X172" s="5"/>
      <c r="Y172" s="5"/>
      <c r="Z172" s="5"/>
      <c r="AA172" s="5"/>
      <c r="AB172" s="5">
        <v>45428.7600347222</v>
      </c>
      <c r="AC172" s="5" t="s">
        <v>269</v>
      </c>
    </row>
    <row r="173" s="1" customFormat="1" ht="17.25" customHeight="1" spans="1:29">
      <c r="A173" s="6" t="s">
        <v>1081</v>
      </c>
      <c r="B173" s="6" t="s">
        <v>1081</v>
      </c>
      <c r="C173" s="6" t="s">
        <v>259</v>
      </c>
      <c r="D173" s="6" t="s">
        <v>260</v>
      </c>
      <c r="E173" s="6" t="s">
        <v>1082</v>
      </c>
      <c r="F173" s="6" t="s">
        <v>1083</v>
      </c>
      <c r="G173" s="6" t="s">
        <v>1083</v>
      </c>
      <c r="H173" s="6" t="s">
        <v>1084</v>
      </c>
      <c r="I173" s="6" t="s">
        <v>1081</v>
      </c>
      <c r="J173" s="6" t="s">
        <v>1085</v>
      </c>
      <c r="K173" s="6" t="s">
        <v>1086</v>
      </c>
      <c r="L173" s="6" t="s">
        <v>1087</v>
      </c>
      <c r="M173" s="6"/>
      <c r="N173" s="6" t="s">
        <v>1088</v>
      </c>
      <c r="O173" s="6"/>
      <c r="P173" s="6"/>
      <c r="Q173" s="6" t="s">
        <v>1089</v>
      </c>
      <c r="R173" s="6"/>
      <c r="S173" s="6"/>
      <c r="T173" s="6"/>
      <c r="U173" s="6"/>
      <c r="V173" s="6" t="s">
        <v>947</v>
      </c>
      <c r="W173" s="10">
        <v>45678.6114583333</v>
      </c>
      <c r="X173" s="6"/>
      <c r="Y173" s="6"/>
      <c r="Z173" s="6"/>
      <c r="AA173" s="6"/>
      <c r="AB173" s="6">
        <v>45678.6114583333</v>
      </c>
      <c r="AC173" s="6" t="s">
        <v>947</v>
      </c>
    </row>
    <row r="174" s="1" customFormat="1" ht="17.25" customHeight="1" spans="1:29">
      <c r="A174" s="5" t="s">
        <v>1090</v>
      </c>
      <c r="B174" s="5" t="s">
        <v>389</v>
      </c>
      <c r="C174" s="5" t="s">
        <v>259</v>
      </c>
      <c r="D174" s="5" t="s">
        <v>27</v>
      </c>
      <c r="E174" s="5"/>
      <c r="F174" s="5" t="s">
        <v>389</v>
      </c>
      <c r="G174" s="5" t="s">
        <v>261</v>
      </c>
      <c r="H174" s="5" t="s">
        <v>1091</v>
      </c>
      <c r="I174" s="5" t="s">
        <v>1090</v>
      </c>
      <c r="J174" s="5" t="s">
        <v>695</v>
      </c>
      <c r="K174" s="5" t="s">
        <v>696</v>
      </c>
      <c r="L174" s="5" t="s">
        <v>1092</v>
      </c>
      <c r="M174" s="5"/>
      <c r="N174" s="5" t="s">
        <v>1093</v>
      </c>
      <c r="O174" s="5"/>
      <c r="P174" s="5"/>
      <c r="Q174" s="5" t="s">
        <v>1094</v>
      </c>
      <c r="R174" s="5"/>
      <c r="S174" s="5"/>
      <c r="T174" s="5"/>
      <c r="U174" s="5" t="s">
        <v>268</v>
      </c>
      <c r="V174" s="5" t="s">
        <v>269</v>
      </c>
      <c r="W174" s="9">
        <v>45428.7600347222</v>
      </c>
      <c r="X174" s="5"/>
      <c r="Y174" s="5"/>
      <c r="Z174" s="5"/>
      <c r="AA174" s="5"/>
      <c r="AB174" s="5">
        <v>45428.7600347222</v>
      </c>
      <c r="AC174" s="5" t="s">
        <v>269</v>
      </c>
    </row>
    <row r="175" s="1" customFormat="1" ht="17.25" customHeight="1" spans="1:29">
      <c r="A175" s="6" t="s">
        <v>1095</v>
      </c>
      <c r="B175" s="6" t="s">
        <v>389</v>
      </c>
      <c r="C175" s="6" t="s">
        <v>259</v>
      </c>
      <c r="D175" s="6" t="s">
        <v>27</v>
      </c>
      <c r="E175" s="6"/>
      <c r="F175" s="6" t="s">
        <v>389</v>
      </c>
      <c r="G175" s="6" t="s">
        <v>261</v>
      </c>
      <c r="H175" s="6" t="s">
        <v>1096</v>
      </c>
      <c r="I175" s="6" t="s">
        <v>1095</v>
      </c>
      <c r="J175" s="6" t="s">
        <v>695</v>
      </c>
      <c r="K175" s="6" t="s">
        <v>696</v>
      </c>
      <c r="L175" s="6" t="s">
        <v>1097</v>
      </c>
      <c r="M175" s="6"/>
      <c r="N175" s="6" t="s">
        <v>1098</v>
      </c>
      <c r="O175" s="6"/>
      <c r="P175" s="6"/>
      <c r="Q175" s="6" t="s">
        <v>1099</v>
      </c>
      <c r="R175" s="6"/>
      <c r="S175" s="6"/>
      <c r="T175" s="6"/>
      <c r="U175" s="6" t="s">
        <v>268</v>
      </c>
      <c r="V175" s="6" t="s">
        <v>269</v>
      </c>
      <c r="W175" s="10">
        <v>45428.7600347222</v>
      </c>
      <c r="X175" s="6"/>
      <c r="Y175" s="6"/>
      <c r="Z175" s="6"/>
      <c r="AA175" s="6"/>
      <c r="AB175" s="6">
        <v>45428.7600347222</v>
      </c>
      <c r="AC175" s="6" t="s">
        <v>269</v>
      </c>
    </row>
    <row r="176" s="1" customFormat="1" ht="17.25" customHeight="1" spans="1:29">
      <c r="A176" s="5" t="s">
        <v>1100</v>
      </c>
      <c r="B176" s="5" t="s">
        <v>389</v>
      </c>
      <c r="C176" s="5" t="s">
        <v>259</v>
      </c>
      <c r="D176" s="5" t="s">
        <v>27</v>
      </c>
      <c r="E176" s="5"/>
      <c r="F176" s="5" t="s">
        <v>389</v>
      </c>
      <c r="G176" s="5" t="s">
        <v>261</v>
      </c>
      <c r="H176" s="5" t="s">
        <v>1101</v>
      </c>
      <c r="I176" s="5" t="s">
        <v>1100</v>
      </c>
      <c r="J176" s="5" t="s">
        <v>695</v>
      </c>
      <c r="K176" s="5" t="s">
        <v>696</v>
      </c>
      <c r="L176" s="5" t="s">
        <v>1097</v>
      </c>
      <c r="M176" s="5"/>
      <c r="N176" s="5" t="s">
        <v>1102</v>
      </c>
      <c r="O176" s="5"/>
      <c r="P176" s="5"/>
      <c r="Q176" s="5" t="s">
        <v>1099</v>
      </c>
      <c r="R176" s="5"/>
      <c r="S176" s="5"/>
      <c r="T176" s="5"/>
      <c r="U176" s="5" t="s">
        <v>268</v>
      </c>
      <c r="V176" s="5" t="s">
        <v>269</v>
      </c>
      <c r="W176" s="9">
        <v>45428.7600347222</v>
      </c>
      <c r="X176" s="5"/>
      <c r="Y176" s="5"/>
      <c r="Z176" s="5"/>
      <c r="AA176" s="5"/>
      <c r="AB176" s="5">
        <v>45428.7600347222</v>
      </c>
      <c r="AC176" s="5" t="s">
        <v>269</v>
      </c>
    </row>
    <row r="177" s="1" customFormat="1" ht="17.25" customHeight="1" spans="1:29">
      <c r="A177" s="6" t="s">
        <v>1103</v>
      </c>
      <c r="B177" s="6" t="s">
        <v>389</v>
      </c>
      <c r="C177" s="6" t="s">
        <v>259</v>
      </c>
      <c r="D177" s="6" t="s">
        <v>27</v>
      </c>
      <c r="E177" s="6"/>
      <c r="F177" s="6" t="s">
        <v>389</v>
      </c>
      <c r="G177" s="6" t="s">
        <v>261</v>
      </c>
      <c r="H177" s="6" t="s">
        <v>1104</v>
      </c>
      <c r="I177" s="6" t="s">
        <v>1103</v>
      </c>
      <c r="J177" s="6" t="s">
        <v>297</v>
      </c>
      <c r="K177" s="6" t="s">
        <v>298</v>
      </c>
      <c r="L177" s="6" t="s">
        <v>1105</v>
      </c>
      <c r="M177" s="6"/>
      <c r="N177" s="6" t="s">
        <v>1106</v>
      </c>
      <c r="O177" s="6"/>
      <c r="P177" s="6"/>
      <c r="Q177" s="6" t="s">
        <v>1107</v>
      </c>
      <c r="R177" s="6"/>
      <c r="S177" s="6"/>
      <c r="T177" s="6"/>
      <c r="U177" s="6" t="s">
        <v>268</v>
      </c>
      <c r="V177" s="6" t="s">
        <v>269</v>
      </c>
      <c r="W177" s="10">
        <v>45428.7600347222</v>
      </c>
      <c r="X177" s="6"/>
      <c r="Y177" s="6"/>
      <c r="Z177" s="6"/>
      <c r="AA177" s="6"/>
      <c r="AB177" s="6">
        <v>45428.7600347222</v>
      </c>
      <c r="AC177" s="6" t="s">
        <v>269</v>
      </c>
    </row>
    <row r="178" s="1" customFormat="1" ht="17.25" customHeight="1" spans="1:29">
      <c r="A178" s="5" t="s">
        <v>1108</v>
      </c>
      <c r="B178" s="5" t="s">
        <v>389</v>
      </c>
      <c r="C178" s="5" t="s">
        <v>259</v>
      </c>
      <c r="D178" s="5" t="s">
        <v>27</v>
      </c>
      <c r="E178" s="5"/>
      <c r="F178" s="5" t="s">
        <v>389</v>
      </c>
      <c r="G178" s="5" t="s">
        <v>261</v>
      </c>
      <c r="H178" s="5" t="s">
        <v>1109</v>
      </c>
      <c r="I178" s="5" t="s">
        <v>1108</v>
      </c>
      <c r="J178" s="5" t="s">
        <v>297</v>
      </c>
      <c r="K178" s="5" t="s">
        <v>298</v>
      </c>
      <c r="L178" s="5" t="s">
        <v>1110</v>
      </c>
      <c r="M178" s="5"/>
      <c r="N178" s="5" t="s">
        <v>1111</v>
      </c>
      <c r="O178" s="5"/>
      <c r="P178" s="5"/>
      <c r="Q178" s="5" t="s">
        <v>1112</v>
      </c>
      <c r="R178" s="5"/>
      <c r="S178" s="5"/>
      <c r="T178" s="5"/>
      <c r="U178" s="5" t="s">
        <v>268</v>
      </c>
      <c r="V178" s="5" t="s">
        <v>269</v>
      </c>
      <c r="W178" s="9">
        <v>45428.7600347222</v>
      </c>
      <c r="X178" s="5"/>
      <c r="Y178" s="5"/>
      <c r="Z178" s="5"/>
      <c r="AA178" s="5"/>
      <c r="AB178" s="5">
        <v>45428.7600347222</v>
      </c>
      <c r="AC178" s="5" t="s">
        <v>269</v>
      </c>
    </row>
    <row r="179" s="1" customFormat="1" ht="17.25" customHeight="1" spans="1:29">
      <c r="A179" s="6" t="s">
        <v>1113</v>
      </c>
      <c r="B179" s="6" t="s">
        <v>389</v>
      </c>
      <c r="C179" s="6" t="s">
        <v>259</v>
      </c>
      <c r="D179" s="6" t="s">
        <v>27</v>
      </c>
      <c r="E179" s="6"/>
      <c r="F179" s="6" t="s">
        <v>389</v>
      </c>
      <c r="G179" s="6" t="s">
        <v>261</v>
      </c>
      <c r="H179" s="6" t="s">
        <v>1114</v>
      </c>
      <c r="I179" s="6" t="s">
        <v>1113</v>
      </c>
      <c r="J179" s="6" t="s">
        <v>297</v>
      </c>
      <c r="K179" s="6" t="s">
        <v>298</v>
      </c>
      <c r="L179" s="6" t="s">
        <v>1115</v>
      </c>
      <c r="M179" s="6"/>
      <c r="N179" s="6" t="s">
        <v>1116</v>
      </c>
      <c r="O179" s="6"/>
      <c r="P179" s="6"/>
      <c r="Q179" s="6" t="s">
        <v>1117</v>
      </c>
      <c r="R179" s="6"/>
      <c r="S179" s="6"/>
      <c r="T179" s="6"/>
      <c r="U179" s="6" t="s">
        <v>268</v>
      </c>
      <c r="V179" s="6" t="s">
        <v>269</v>
      </c>
      <c r="W179" s="10">
        <v>45428.7600347222</v>
      </c>
      <c r="X179" s="6"/>
      <c r="Y179" s="6"/>
      <c r="Z179" s="6"/>
      <c r="AA179" s="6"/>
      <c r="AB179" s="6">
        <v>45428.7600347222</v>
      </c>
      <c r="AC179" s="6" t="s">
        <v>269</v>
      </c>
    </row>
    <row r="180" s="1" customFormat="1" ht="17.25" customHeight="1" spans="1:29">
      <c r="A180" s="5" t="s">
        <v>1118</v>
      </c>
      <c r="B180" s="5" t="s">
        <v>389</v>
      </c>
      <c r="C180" s="5" t="s">
        <v>259</v>
      </c>
      <c r="D180" s="5" t="s">
        <v>27</v>
      </c>
      <c r="E180" s="5"/>
      <c r="F180" s="5" t="s">
        <v>389</v>
      </c>
      <c r="G180" s="5" t="s">
        <v>261</v>
      </c>
      <c r="H180" s="5" t="s">
        <v>1119</v>
      </c>
      <c r="I180" s="5" t="s">
        <v>1118</v>
      </c>
      <c r="J180" s="5" t="s">
        <v>297</v>
      </c>
      <c r="K180" s="5" t="s">
        <v>298</v>
      </c>
      <c r="L180" s="5" t="s">
        <v>1120</v>
      </c>
      <c r="M180" s="5"/>
      <c r="N180" s="5" t="s">
        <v>1121</v>
      </c>
      <c r="O180" s="5"/>
      <c r="P180" s="5"/>
      <c r="Q180" s="5" t="s">
        <v>1122</v>
      </c>
      <c r="R180" s="5"/>
      <c r="S180" s="5"/>
      <c r="T180" s="5"/>
      <c r="U180" s="5" t="s">
        <v>268</v>
      </c>
      <c r="V180" s="5" t="s">
        <v>269</v>
      </c>
      <c r="W180" s="9">
        <v>45428.7600347222</v>
      </c>
      <c r="X180" s="5"/>
      <c r="Y180" s="5"/>
      <c r="Z180" s="5"/>
      <c r="AA180" s="5"/>
      <c r="AB180" s="5">
        <v>45428.7600347222</v>
      </c>
      <c r="AC180" s="5" t="s">
        <v>269</v>
      </c>
    </row>
    <row r="181" s="1" customFormat="1" ht="17.25" customHeight="1" spans="1:29">
      <c r="A181" s="6" t="s">
        <v>1123</v>
      </c>
      <c r="B181" s="6" t="s">
        <v>389</v>
      </c>
      <c r="C181" s="6" t="s">
        <v>259</v>
      </c>
      <c r="D181" s="6" t="s">
        <v>27</v>
      </c>
      <c r="E181" s="6"/>
      <c r="F181" s="6" t="s">
        <v>389</v>
      </c>
      <c r="G181" s="6" t="s">
        <v>261</v>
      </c>
      <c r="H181" s="6" t="s">
        <v>1124</v>
      </c>
      <c r="I181" s="6" t="s">
        <v>1123</v>
      </c>
      <c r="J181" s="6" t="s">
        <v>263</v>
      </c>
      <c r="K181" s="6" t="s">
        <v>264</v>
      </c>
      <c r="L181" s="6" t="s">
        <v>1125</v>
      </c>
      <c r="M181" s="6"/>
      <c r="N181" s="6" t="s">
        <v>1126</v>
      </c>
      <c r="O181" s="6"/>
      <c r="P181" s="6"/>
      <c r="Q181" s="6" t="s">
        <v>1127</v>
      </c>
      <c r="R181" s="6"/>
      <c r="S181" s="6"/>
      <c r="T181" s="6"/>
      <c r="U181" s="6" t="s">
        <v>268</v>
      </c>
      <c r="V181" s="6" t="s">
        <v>269</v>
      </c>
      <c r="W181" s="10">
        <v>45428.7600347222</v>
      </c>
      <c r="X181" s="6"/>
      <c r="Y181" s="6"/>
      <c r="Z181" s="6"/>
      <c r="AA181" s="6"/>
      <c r="AB181" s="6">
        <v>45428.7600347222</v>
      </c>
      <c r="AC181" s="6" t="s">
        <v>269</v>
      </c>
    </row>
    <row r="182" s="1" customFormat="1" ht="17.25" customHeight="1" spans="1:29">
      <c r="A182" s="5" t="s">
        <v>1128</v>
      </c>
      <c r="B182" s="5" t="s">
        <v>389</v>
      </c>
      <c r="C182" s="5" t="s">
        <v>259</v>
      </c>
      <c r="D182" s="5" t="s">
        <v>27</v>
      </c>
      <c r="E182" s="5"/>
      <c r="F182" s="5" t="s">
        <v>389</v>
      </c>
      <c r="G182" s="5" t="s">
        <v>261</v>
      </c>
      <c r="H182" s="5" t="s">
        <v>1129</v>
      </c>
      <c r="I182" s="5" t="s">
        <v>1128</v>
      </c>
      <c r="J182" s="5" t="s">
        <v>338</v>
      </c>
      <c r="K182" s="5" t="s">
        <v>339</v>
      </c>
      <c r="L182" s="5" t="s">
        <v>1130</v>
      </c>
      <c r="M182" s="5"/>
      <c r="N182" s="5" t="s">
        <v>1131</v>
      </c>
      <c r="O182" s="5"/>
      <c r="P182" s="5"/>
      <c r="Q182" s="5" t="s">
        <v>1132</v>
      </c>
      <c r="R182" s="5"/>
      <c r="S182" s="5"/>
      <c r="T182" s="5"/>
      <c r="U182" s="5" t="s">
        <v>268</v>
      </c>
      <c r="V182" s="5" t="s">
        <v>269</v>
      </c>
      <c r="W182" s="9">
        <v>45428.7600347222</v>
      </c>
      <c r="X182" s="5"/>
      <c r="Y182" s="5"/>
      <c r="Z182" s="5"/>
      <c r="AA182" s="5"/>
      <c r="AB182" s="5">
        <v>45428.7600347222</v>
      </c>
      <c r="AC182" s="5" t="s">
        <v>269</v>
      </c>
    </row>
    <row r="183" s="1" customFormat="1" ht="17.25" customHeight="1" spans="1:29">
      <c r="A183" s="6" t="s">
        <v>1133</v>
      </c>
      <c r="B183" s="6" t="s">
        <v>389</v>
      </c>
      <c r="C183" s="6" t="s">
        <v>259</v>
      </c>
      <c r="D183" s="6" t="s">
        <v>27</v>
      </c>
      <c r="E183" s="6"/>
      <c r="F183" s="6" t="s">
        <v>389</v>
      </c>
      <c r="G183" s="6" t="s">
        <v>261</v>
      </c>
      <c r="H183" s="6" t="s">
        <v>1134</v>
      </c>
      <c r="I183" s="6" t="s">
        <v>1133</v>
      </c>
      <c r="J183" s="6" t="s">
        <v>338</v>
      </c>
      <c r="K183" s="6" t="s">
        <v>339</v>
      </c>
      <c r="L183" s="6" t="s">
        <v>1135</v>
      </c>
      <c r="M183" s="6"/>
      <c r="N183" s="6" t="s">
        <v>1136</v>
      </c>
      <c r="O183" s="6"/>
      <c r="P183" s="6"/>
      <c r="Q183" s="6" t="s">
        <v>1137</v>
      </c>
      <c r="R183" s="6"/>
      <c r="S183" s="6"/>
      <c r="T183" s="6"/>
      <c r="U183" s="6" t="s">
        <v>268</v>
      </c>
      <c r="V183" s="6" t="s">
        <v>269</v>
      </c>
      <c r="W183" s="10">
        <v>45428.7600347222</v>
      </c>
      <c r="X183" s="6"/>
      <c r="Y183" s="6"/>
      <c r="Z183" s="6"/>
      <c r="AA183" s="6"/>
      <c r="AB183" s="6">
        <v>45428.7600347222</v>
      </c>
      <c r="AC183" s="6" t="s">
        <v>269</v>
      </c>
    </row>
    <row r="184" s="1" customFormat="1" ht="17.25" customHeight="1" spans="1:29">
      <c r="A184" s="5" t="s">
        <v>1138</v>
      </c>
      <c r="B184" s="5" t="s">
        <v>389</v>
      </c>
      <c r="C184" s="5" t="s">
        <v>259</v>
      </c>
      <c r="D184" s="5" t="s">
        <v>27</v>
      </c>
      <c r="E184" s="5"/>
      <c r="F184" s="5" t="s">
        <v>389</v>
      </c>
      <c r="G184" s="5" t="s">
        <v>261</v>
      </c>
      <c r="H184" s="5" t="s">
        <v>1139</v>
      </c>
      <c r="I184" s="5" t="s">
        <v>1138</v>
      </c>
      <c r="J184" s="5" t="s">
        <v>338</v>
      </c>
      <c r="K184" s="5" t="s">
        <v>339</v>
      </c>
      <c r="L184" s="5" t="s">
        <v>415</v>
      </c>
      <c r="M184" s="5"/>
      <c r="N184" s="5" t="s">
        <v>921</v>
      </c>
      <c r="O184" s="5"/>
      <c r="P184" s="5"/>
      <c r="Q184" s="5" t="s">
        <v>1140</v>
      </c>
      <c r="R184" s="5"/>
      <c r="S184" s="5"/>
      <c r="T184" s="5"/>
      <c r="U184" s="5" t="s">
        <v>268</v>
      </c>
      <c r="V184" s="5" t="s">
        <v>269</v>
      </c>
      <c r="W184" s="9">
        <v>45428.7600347222</v>
      </c>
      <c r="X184" s="5"/>
      <c r="Y184" s="5"/>
      <c r="Z184" s="5"/>
      <c r="AA184" s="5"/>
      <c r="AB184" s="5">
        <v>45428.7600347222</v>
      </c>
      <c r="AC184" s="5" t="s">
        <v>269</v>
      </c>
    </row>
    <row r="185" s="1" customFormat="1" ht="17.25" customHeight="1" spans="1:29">
      <c r="A185" s="6" t="s">
        <v>1141</v>
      </c>
      <c r="B185" s="6" t="s">
        <v>389</v>
      </c>
      <c r="C185" s="6" t="s">
        <v>259</v>
      </c>
      <c r="D185" s="6" t="s">
        <v>27</v>
      </c>
      <c r="E185" s="6"/>
      <c r="F185" s="6" t="s">
        <v>389</v>
      </c>
      <c r="G185" s="6" t="s">
        <v>261</v>
      </c>
      <c r="H185" s="6" t="s">
        <v>1142</v>
      </c>
      <c r="I185" s="6" t="s">
        <v>1141</v>
      </c>
      <c r="J185" s="6" t="s">
        <v>338</v>
      </c>
      <c r="K185" s="6" t="s">
        <v>339</v>
      </c>
      <c r="L185" s="6" t="s">
        <v>1143</v>
      </c>
      <c r="M185" s="6"/>
      <c r="N185" s="6" t="s">
        <v>1144</v>
      </c>
      <c r="O185" s="6"/>
      <c r="P185" s="6"/>
      <c r="Q185" s="6" t="s">
        <v>1145</v>
      </c>
      <c r="R185" s="6"/>
      <c r="S185" s="6"/>
      <c r="T185" s="6"/>
      <c r="U185" s="6" t="s">
        <v>268</v>
      </c>
      <c r="V185" s="6" t="s">
        <v>269</v>
      </c>
      <c r="W185" s="10">
        <v>45428.7600347222</v>
      </c>
      <c r="X185" s="6"/>
      <c r="Y185" s="6"/>
      <c r="Z185" s="6"/>
      <c r="AA185" s="6"/>
      <c r="AB185" s="6">
        <v>45428.7600347222</v>
      </c>
      <c r="AC185" s="6" t="s">
        <v>269</v>
      </c>
    </row>
    <row r="186" s="1" customFormat="1" ht="17.25" customHeight="1" spans="1:29">
      <c r="A186" s="5" t="s">
        <v>1146</v>
      </c>
      <c r="B186" s="5" t="s">
        <v>389</v>
      </c>
      <c r="C186" s="5" t="s">
        <v>259</v>
      </c>
      <c r="D186" s="5" t="s">
        <v>27</v>
      </c>
      <c r="E186" s="5"/>
      <c r="F186" s="5" t="s">
        <v>389</v>
      </c>
      <c r="G186" s="5" t="s">
        <v>261</v>
      </c>
      <c r="H186" s="5" t="s">
        <v>1147</v>
      </c>
      <c r="I186" s="5" t="s">
        <v>1146</v>
      </c>
      <c r="J186" s="5" t="s">
        <v>338</v>
      </c>
      <c r="K186" s="5" t="s">
        <v>339</v>
      </c>
      <c r="L186" s="5" t="s">
        <v>415</v>
      </c>
      <c r="M186" s="5"/>
      <c r="N186" s="5" t="s">
        <v>1148</v>
      </c>
      <c r="O186" s="5"/>
      <c r="P186" s="5"/>
      <c r="Q186" s="5" t="s">
        <v>1140</v>
      </c>
      <c r="R186" s="5"/>
      <c r="S186" s="5"/>
      <c r="T186" s="5"/>
      <c r="U186" s="5" t="s">
        <v>268</v>
      </c>
      <c r="V186" s="5" t="s">
        <v>269</v>
      </c>
      <c r="W186" s="9">
        <v>45428.7600347222</v>
      </c>
      <c r="X186" s="5"/>
      <c r="Y186" s="5"/>
      <c r="Z186" s="5"/>
      <c r="AA186" s="5"/>
      <c r="AB186" s="5">
        <v>45428.7600347222</v>
      </c>
      <c r="AC186" s="5" t="s">
        <v>269</v>
      </c>
    </row>
    <row r="187" s="1" customFormat="1" ht="17.25" customHeight="1" spans="1:29">
      <c r="A187" s="6" t="s">
        <v>1149</v>
      </c>
      <c r="B187" s="6" t="s">
        <v>389</v>
      </c>
      <c r="C187" s="6" t="s">
        <v>259</v>
      </c>
      <c r="D187" s="6" t="s">
        <v>27</v>
      </c>
      <c r="E187" s="6"/>
      <c r="F187" s="6" t="s">
        <v>389</v>
      </c>
      <c r="G187" s="6" t="s">
        <v>261</v>
      </c>
      <c r="H187" s="6" t="s">
        <v>1150</v>
      </c>
      <c r="I187" s="6" t="s">
        <v>1149</v>
      </c>
      <c r="J187" s="6" t="s">
        <v>338</v>
      </c>
      <c r="K187" s="6" t="s">
        <v>339</v>
      </c>
      <c r="L187" s="6" t="s">
        <v>1151</v>
      </c>
      <c r="M187" s="6"/>
      <c r="N187" s="6" t="s">
        <v>1152</v>
      </c>
      <c r="O187" s="6"/>
      <c r="P187" s="6"/>
      <c r="Q187" s="6">
        <v>94561</v>
      </c>
      <c r="R187" s="6"/>
      <c r="S187" s="6"/>
      <c r="T187" s="6"/>
      <c r="U187" s="6" t="s">
        <v>268</v>
      </c>
      <c r="V187" s="6" t="s">
        <v>269</v>
      </c>
      <c r="W187" s="10">
        <v>45428.7600347222</v>
      </c>
      <c r="X187" s="6"/>
      <c r="Y187" s="6"/>
      <c r="Z187" s="6"/>
      <c r="AA187" s="6"/>
      <c r="AB187" s="6">
        <v>45428.7600347222</v>
      </c>
      <c r="AC187" s="6" t="s">
        <v>269</v>
      </c>
    </row>
    <row r="188" s="1" customFormat="1" ht="17.25" customHeight="1" spans="1:29">
      <c r="A188" s="5" t="s">
        <v>1153</v>
      </c>
      <c r="B188" s="5" t="s">
        <v>389</v>
      </c>
      <c r="C188" s="5" t="s">
        <v>259</v>
      </c>
      <c r="D188" s="5" t="s">
        <v>27</v>
      </c>
      <c r="E188" s="5"/>
      <c r="F188" s="5" t="s">
        <v>389</v>
      </c>
      <c r="G188" s="5" t="s">
        <v>261</v>
      </c>
      <c r="H188" s="5" t="s">
        <v>1154</v>
      </c>
      <c r="I188" s="5" t="s">
        <v>1153</v>
      </c>
      <c r="J188" s="5" t="s">
        <v>331</v>
      </c>
      <c r="K188" s="5" t="s">
        <v>332</v>
      </c>
      <c r="L188" s="5" t="s">
        <v>1155</v>
      </c>
      <c r="M188" s="5"/>
      <c r="N188" s="5" t="s">
        <v>1156</v>
      </c>
      <c r="O188" s="5"/>
      <c r="P188" s="5"/>
      <c r="Q188" s="5" t="s">
        <v>1157</v>
      </c>
      <c r="R188" s="5"/>
      <c r="S188" s="5"/>
      <c r="T188" s="5"/>
      <c r="U188" s="5" t="s">
        <v>268</v>
      </c>
      <c r="V188" s="5" t="s">
        <v>269</v>
      </c>
      <c r="W188" s="9">
        <v>45428.7600347222</v>
      </c>
      <c r="X188" s="5"/>
      <c r="Y188" s="5"/>
      <c r="Z188" s="5"/>
      <c r="AA188" s="5"/>
      <c r="AB188" s="5">
        <v>45428.7600347222</v>
      </c>
      <c r="AC188" s="5" t="s">
        <v>269</v>
      </c>
    </row>
    <row r="189" s="1" customFormat="1" ht="17.25" customHeight="1" spans="1:29">
      <c r="A189" s="6" t="s">
        <v>1158</v>
      </c>
      <c r="B189" s="6" t="s">
        <v>389</v>
      </c>
      <c r="C189" s="6" t="s">
        <v>259</v>
      </c>
      <c r="D189" s="6" t="s">
        <v>27</v>
      </c>
      <c r="E189" s="6"/>
      <c r="F189" s="6" t="s">
        <v>389</v>
      </c>
      <c r="G189" s="6" t="s">
        <v>261</v>
      </c>
      <c r="H189" s="6" t="s">
        <v>1159</v>
      </c>
      <c r="I189" s="6" t="s">
        <v>1158</v>
      </c>
      <c r="J189" s="6" t="s">
        <v>331</v>
      </c>
      <c r="K189" s="6" t="s">
        <v>332</v>
      </c>
      <c r="L189" s="6" t="s">
        <v>1160</v>
      </c>
      <c r="M189" s="6"/>
      <c r="N189" s="6" t="s">
        <v>1161</v>
      </c>
      <c r="O189" s="6"/>
      <c r="P189" s="6"/>
      <c r="Q189" s="6" t="s">
        <v>1162</v>
      </c>
      <c r="R189" s="6"/>
      <c r="S189" s="6"/>
      <c r="T189" s="6"/>
      <c r="U189" s="6" t="s">
        <v>268</v>
      </c>
      <c r="V189" s="6" t="s">
        <v>269</v>
      </c>
      <c r="W189" s="10">
        <v>45428.7600347222</v>
      </c>
      <c r="X189" s="6"/>
      <c r="Y189" s="6"/>
      <c r="Z189" s="6"/>
      <c r="AA189" s="6"/>
      <c r="AB189" s="6">
        <v>45428.7600347222</v>
      </c>
      <c r="AC189" s="6" t="s">
        <v>269</v>
      </c>
    </row>
    <row r="190" s="1" customFormat="1" ht="17.25" customHeight="1" spans="1:29">
      <c r="A190" s="5" t="s">
        <v>1163</v>
      </c>
      <c r="B190" s="5" t="s">
        <v>389</v>
      </c>
      <c r="C190" s="5" t="s">
        <v>259</v>
      </c>
      <c r="D190" s="5" t="s">
        <v>27</v>
      </c>
      <c r="E190" s="5"/>
      <c r="F190" s="5" t="s">
        <v>389</v>
      </c>
      <c r="G190" s="5" t="s">
        <v>261</v>
      </c>
      <c r="H190" s="5" t="s">
        <v>1164</v>
      </c>
      <c r="I190" s="5" t="s">
        <v>1163</v>
      </c>
      <c r="J190" s="5" t="s">
        <v>331</v>
      </c>
      <c r="K190" s="5" t="s">
        <v>332</v>
      </c>
      <c r="L190" s="5" t="s">
        <v>333</v>
      </c>
      <c r="M190" s="5"/>
      <c r="N190" s="5" t="s">
        <v>1165</v>
      </c>
      <c r="O190" s="5"/>
      <c r="P190" s="5"/>
      <c r="Q190" s="5" t="s">
        <v>335</v>
      </c>
      <c r="R190" s="5"/>
      <c r="S190" s="5"/>
      <c r="T190" s="5"/>
      <c r="U190" s="5" t="s">
        <v>268</v>
      </c>
      <c r="V190" s="5" t="s">
        <v>269</v>
      </c>
      <c r="W190" s="9">
        <v>45428.7600347222</v>
      </c>
      <c r="X190" s="5"/>
      <c r="Y190" s="5"/>
      <c r="Z190" s="5"/>
      <c r="AA190" s="5"/>
      <c r="AB190" s="5">
        <v>45428.7600347222</v>
      </c>
      <c r="AC190" s="5" t="s">
        <v>269</v>
      </c>
    </row>
    <row r="191" s="1" customFormat="1" ht="17.25" customHeight="1" spans="1:29">
      <c r="A191" s="6" t="s">
        <v>1166</v>
      </c>
      <c r="B191" s="6" t="s">
        <v>389</v>
      </c>
      <c r="C191" s="6" t="s">
        <v>259</v>
      </c>
      <c r="D191" s="6" t="s">
        <v>27</v>
      </c>
      <c r="E191" s="6"/>
      <c r="F191" s="6" t="s">
        <v>389</v>
      </c>
      <c r="G191" s="6" t="s">
        <v>261</v>
      </c>
      <c r="H191" s="6" t="s">
        <v>1167</v>
      </c>
      <c r="I191" s="6" t="s">
        <v>1166</v>
      </c>
      <c r="J191" s="6" t="s">
        <v>331</v>
      </c>
      <c r="K191" s="6" t="s">
        <v>332</v>
      </c>
      <c r="L191" s="6" t="s">
        <v>333</v>
      </c>
      <c r="M191" s="6"/>
      <c r="N191" s="6" t="s">
        <v>1168</v>
      </c>
      <c r="O191" s="6"/>
      <c r="P191" s="6"/>
      <c r="Q191" s="6" t="s">
        <v>335</v>
      </c>
      <c r="R191" s="6"/>
      <c r="S191" s="6"/>
      <c r="T191" s="6"/>
      <c r="U191" s="6" t="s">
        <v>268</v>
      </c>
      <c r="V191" s="6" t="s">
        <v>269</v>
      </c>
      <c r="W191" s="10">
        <v>45428.7600347222</v>
      </c>
      <c r="X191" s="6"/>
      <c r="Y191" s="6"/>
      <c r="Z191" s="6"/>
      <c r="AA191" s="6"/>
      <c r="AB191" s="6">
        <v>45428.7600347222</v>
      </c>
      <c r="AC191" s="6" t="s">
        <v>269</v>
      </c>
    </row>
    <row r="192" s="1" customFormat="1" ht="17.25" customHeight="1" spans="1:29">
      <c r="A192" s="5" t="s">
        <v>1169</v>
      </c>
      <c r="B192" s="5" t="s">
        <v>389</v>
      </c>
      <c r="C192" s="5" t="s">
        <v>259</v>
      </c>
      <c r="D192" s="5" t="s">
        <v>27</v>
      </c>
      <c r="E192" s="5"/>
      <c r="F192" s="5" t="s">
        <v>389</v>
      </c>
      <c r="G192" s="5" t="s">
        <v>261</v>
      </c>
      <c r="H192" s="5" t="s">
        <v>1170</v>
      </c>
      <c r="I192" s="5" t="s">
        <v>1169</v>
      </c>
      <c r="J192" s="5" t="s">
        <v>331</v>
      </c>
      <c r="K192" s="5" t="s">
        <v>332</v>
      </c>
      <c r="L192" s="5" t="s">
        <v>333</v>
      </c>
      <c r="M192" s="5"/>
      <c r="N192" s="5" t="s">
        <v>1171</v>
      </c>
      <c r="O192" s="5"/>
      <c r="P192" s="5"/>
      <c r="Q192" s="5" t="s">
        <v>335</v>
      </c>
      <c r="R192" s="5"/>
      <c r="S192" s="5"/>
      <c r="T192" s="5"/>
      <c r="U192" s="5" t="s">
        <v>268</v>
      </c>
      <c r="V192" s="5" t="s">
        <v>269</v>
      </c>
      <c r="W192" s="9">
        <v>45428.7600347222</v>
      </c>
      <c r="X192" s="5"/>
      <c r="Y192" s="5"/>
      <c r="Z192" s="5"/>
      <c r="AA192" s="5"/>
      <c r="AB192" s="5">
        <v>45428.7600347222</v>
      </c>
      <c r="AC192" s="5" t="s">
        <v>269</v>
      </c>
    </row>
    <row r="193" s="1" customFormat="1" ht="17.25" customHeight="1" spans="1:29">
      <c r="A193" s="6" t="s">
        <v>1172</v>
      </c>
      <c r="B193" s="6" t="s">
        <v>389</v>
      </c>
      <c r="C193" s="6" t="s">
        <v>259</v>
      </c>
      <c r="D193" s="6" t="s">
        <v>27</v>
      </c>
      <c r="E193" s="6"/>
      <c r="F193" s="6" t="s">
        <v>389</v>
      </c>
      <c r="G193" s="6" t="s">
        <v>261</v>
      </c>
      <c r="H193" s="6" t="s">
        <v>1173</v>
      </c>
      <c r="I193" s="6" t="s">
        <v>1172</v>
      </c>
      <c r="J193" s="6" t="s">
        <v>304</v>
      </c>
      <c r="K193" s="6" t="s">
        <v>305</v>
      </c>
      <c r="L193" s="6" t="s">
        <v>563</v>
      </c>
      <c r="M193" s="6"/>
      <c r="N193" s="6" t="s">
        <v>1174</v>
      </c>
      <c r="O193" s="6"/>
      <c r="P193" s="6"/>
      <c r="Q193" s="6" t="s">
        <v>565</v>
      </c>
      <c r="R193" s="6"/>
      <c r="S193" s="6"/>
      <c r="T193" s="6"/>
      <c r="U193" s="6" t="s">
        <v>268</v>
      </c>
      <c r="V193" s="6" t="s">
        <v>269</v>
      </c>
      <c r="W193" s="10">
        <v>45428.7600347222</v>
      </c>
      <c r="X193" s="6"/>
      <c r="Y193" s="6"/>
      <c r="Z193" s="6"/>
      <c r="AA193" s="6"/>
      <c r="AB193" s="6">
        <v>45428.7600347222</v>
      </c>
      <c r="AC193" s="6" t="s">
        <v>269</v>
      </c>
    </row>
    <row r="194" s="1" customFormat="1" ht="17.25" customHeight="1" spans="1:29">
      <c r="A194" s="5" t="s">
        <v>1175</v>
      </c>
      <c r="B194" s="5" t="s">
        <v>389</v>
      </c>
      <c r="C194" s="5" t="s">
        <v>259</v>
      </c>
      <c r="D194" s="5" t="s">
        <v>27</v>
      </c>
      <c r="E194" s="5"/>
      <c r="F194" s="5" t="s">
        <v>389</v>
      </c>
      <c r="G194" s="5" t="s">
        <v>261</v>
      </c>
      <c r="H194" s="5" t="s">
        <v>1176</v>
      </c>
      <c r="I194" s="5" t="s">
        <v>1175</v>
      </c>
      <c r="J194" s="5" t="s">
        <v>331</v>
      </c>
      <c r="K194" s="5" t="s">
        <v>332</v>
      </c>
      <c r="L194" s="5" t="s">
        <v>333</v>
      </c>
      <c r="M194" s="5"/>
      <c r="N194" s="5" t="s">
        <v>1177</v>
      </c>
      <c r="O194" s="5"/>
      <c r="P194" s="5"/>
      <c r="Q194" s="5" t="s">
        <v>335</v>
      </c>
      <c r="R194" s="5"/>
      <c r="S194" s="5"/>
      <c r="T194" s="5"/>
      <c r="U194" s="5" t="s">
        <v>268</v>
      </c>
      <c r="V194" s="5" t="s">
        <v>269</v>
      </c>
      <c r="W194" s="9">
        <v>45428.7600347222</v>
      </c>
      <c r="X194" s="5"/>
      <c r="Y194" s="5"/>
      <c r="Z194" s="5"/>
      <c r="AA194" s="5"/>
      <c r="AB194" s="5">
        <v>45428.7600347222</v>
      </c>
      <c r="AC194" s="5" t="s">
        <v>269</v>
      </c>
    </row>
    <row r="195" s="1" customFormat="1" ht="17.25" customHeight="1" spans="1:29">
      <c r="A195" s="6" t="s">
        <v>1178</v>
      </c>
      <c r="B195" s="6" t="s">
        <v>389</v>
      </c>
      <c r="C195" s="6" t="s">
        <v>259</v>
      </c>
      <c r="D195" s="6" t="s">
        <v>27</v>
      </c>
      <c r="E195" s="6"/>
      <c r="F195" s="6" t="s">
        <v>389</v>
      </c>
      <c r="G195" s="6" t="s">
        <v>261</v>
      </c>
      <c r="H195" s="6" t="s">
        <v>1179</v>
      </c>
      <c r="I195" s="6" t="s">
        <v>1178</v>
      </c>
      <c r="J195" s="6" t="s">
        <v>654</v>
      </c>
      <c r="K195" s="6" t="s">
        <v>655</v>
      </c>
      <c r="L195" s="6" t="s">
        <v>1180</v>
      </c>
      <c r="M195" s="6"/>
      <c r="N195" s="6" t="s">
        <v>1181</v>
      </c>
      <c r="O195" s="6"/>
      <c r="P195" s="6"/>
      <c r="Q195" s="6" t="s">
        <v>1182</v>
      </c>
      <c r="R195" s="6"/>
      <c r="S195" s="6"/>
      <c r="T195" s="6"/>
      <c r="U195" s="6" t="s">
        <v>268</v>
      </c>
      <c r="V195" s="6" t="s">
        <v>269</v>
      </c>
      <c r="W195" s="10">
        <v>45428.7600347222</v>
      </c>
      <c r="X195" s="6"/>
      <c r="Y195" s="6"/>
      <c r="Z195" s="6"/>
      <c r="AA195" s="6"/>
      <c r="AB195" s="6">
        <v>45428.7600347222</v>
      </c>
      <c r="AC195" s="6" t="s">
        <v>269</v>
      </c>
    </row>
    <row r="196" s="1" customFormat="1" ht="17.25" customHeight="1" spans="1:29">
      <c r="A196" s="5" t="s">
        <v>1183</v>
      </c>
      <c r="B196" s="5" t="s">
        <v>389</v>
      </c>
      <c r="C196" s="5" t="s">
        <v>259</v>
      </c>
      <c r="D196" s="5" t="s">
        <v>27</v>
      </c>
      <c r="E196" s="5"/>
      <c r="F196" s="5" t="s">
        <v>389</v>
      </c>
      <c r="G196" s="5" t="s">
        <v>261</v>
      </c>
      <c r="H196" s="5" t="s">
        <v>1184</v>
      </c>
      <c r="I196" s="5" t="s">
        <v>1183</v>
      </c>
      <c r="J196" s="5" t="s">
        <v>433</v>
      </c>
      <c r="K196" s="5" t="s">
        <v>434</v>
      </c>
      <c r="L196" s="5" t="s">
        <v>1185</v>
      </c>
      <c r="M196" s="5"/>
      <c r="N196" s="5" t="s">
        <v>1186</v>
      </c>
      <c r="O196" s="5"/>
      <c r="P196" s="5"/>
      <c r="Q196" s="5" t="s">
        <v>1187</v>
      </c>
      <c r="R196" s="5"/>
      <c r="S196" s="5"/>
      <c r="T196" s="5"/>
      <c r="U196" s="5" t="s">
        <v>268</v>
      </c>
      <c r="V196" s="5" t="s">
        <v>269</v>
      </c>
      <c r="W196" s="9">
        <v>45428.7600347222</v>
      </c>
      <c r="X196" s="5"/>
      <c r="Y196" s="5"/>
      <c r="Z196" s="5"/>
      <c r="AA196" s="5"/>
      <c r="AB196" s="5">
        <v>45428.7600347222</v>
      </c>
      <c r="AC196" s="5" t="s">
        <v>269</v>
      </c>
    </row>
    <row r="197" s="1" customFormat="1" ht="17.25" customHeight="1" spans="1:29">
      <c r="A197" s="6" t="s">
        <v>1188</v>
      </c>
      <c r="B197" s="6" t="s">
        <v>389</v>
      </c>
      <c r="C197" s="6" t="s">
        <v>259</v>
      </c>
      <c r="D197" s="6" t="s">
        <v>27</v>
      </c>
      <c r="E197" s="6"/>
      <c r="F197" s="6" t="s">
        <v>389</v>
      </c>
      <c r="G197" s="6" t="s">
        <v>261</v>
      </c>
      <c r="H197" s="6" t="s">
        <v>1189</v>
      </c>
      <c r="I197" s="6" t="s">
        <v>1188</v>
      </c>
      <c r="J197" s="6" t="s">
        <v>338</v>
      </c>
      <c r="K197" s="6" t="s">
        <v>339</v>
      </c>
      <c r="L197" s="6" t="s">
        <v>1190</v>
      </c>
      <c r="M197" s="6"/>
      <c r="N197" s="6" t="s">
        <v>1191</v>
      </c>
      <c r="O197" s="6"/>
      <c r="P197" s="6"/>
      <c r="Q197" s="6" t="s">
        <v>1192</v>
      </c>
      <c r="R197" s="6"/>
      <c r="S197" s="6"/>
      <c r="T197" s="6"/>
      <c r="U197" s="6" t="s">
        <v>268</v>
      </c>
      <c r="V197" s="6" t="s">
        <v>269</v>
      </c>
      <c r="W197" s="10">
        <v>45428.7600347222</v>
      </c>
      <c r="X197" s="6"/>
      <c r="Y197" s="6"/>
      <c r="Z197" s="6"/>
      <c r="AA197" s="6"/>
      <c r="AB197" s="6">
        <v>45428.7600347222</v>
      </c>
      <c r="AC197" s="6" t="s">
        <v>269</v>
      </c>
    </row>
    <row r="198" s="1" customFormat="1" ht="17.25" customHeight="1" spans="1:29">
      <c r="A198" s="5" t="s">
        <v>1193</v>
      </c>
      <c r="B198" s="5" t="s">
        <v>389</v>
      </c>
      <c r="C198" s="5" t="s">
        <v>259</v>
      </c>
      <c r="D198" s="5" t="s">
        <v>27</v>
      </c>
      <c r="E198" s="5"/>
      <c r="F198" s="5" t="s">
        <v>389</v>
      </c>
      <c r="G198" s="5" t="s">
        <v>261</v>
      </c>
      <c r="H198" s="5" t="s">
        <v>1194</v>
      </c>
      <c r="I198" s="5" t="s">
        <v>1193</v>
      </c>
      <c r="J198" s="5" t="s">
        <v>290</v>
      </c>
      <c r="K198" s="5" t="s">
        <v>291</v>
      </c>
      <c r="L198" s="5" t="s">
        <v>1195</v>
      </c>
      <c r="M198" s="5"/>
      <c r="N198" s="5" t="s">
        <v>1196</v>
      </c>
      <c r="O198" s="5"/>
      <c r="P198" s="5"/>
      <c r="Q198" s="5" t="s">
        <v>1197</v>
      </c>
      <c r="R198" s="5"/>
      <c r="S198" s="5"/>
      <c r="T198" s="5"/>
      <c r="U198" s="5" t="s">
        <v>268</v>
      </c>
      <c r="V198" s="5" t="s">
        <v>269</v>
      </c>
      <c r="W198" s="9">
        <v>45428.7600347222</v>
      </c>
      <c r="X198" s="5"/>
      <c r="Y198" s="5"/>
      <c r="Z198" s="5"/>
      <c r="AA198" s="5"/>
      <c r="AB198" s="5">
        <v>45428.7600347222</v>
      </c>
      <c r="AC198" s="5" t="s">
        <v>269</v>
      </c>
    </row>
    <row r="199" s="1" customFormat="1" ht="17.25" customHeight="1" spans="1:29">
      <c r="A199" s="6" t="s">
        <v>1198</v>
      </c>
      <c r="B199" s="6" t="s">
        <v>389</v>
      </c>
      <c r="C199" s="6" t="s">
        <v>259</v>
      </c>
      <c r="D199" s="6" t="s">
        <v>27</v>
      </c>
      <c r="E199" s="6"/>
      <c r="F199" s="6" t="s">
        <v>389</v>
      </c>
      <c r="G199" s="6" t="s">
        <v>261</v>
      </c>
      <c r="H199" s="6" t="s">
        <v>1199</v>
      </c>
      <c r="I199" s="6" t="s">
        <v>1198</v>
      </c>
      <c r="J199" s="6" t="s">
        <v>283</v>
      </c>
      <c r="K199" s="6" t="s">
        <v>284</v>
      </c>
      <c r="L199" s="6" t="s">
        <v>1200</v>
      </c>
      <c r="M199" s="6"/>
      <c r="N199" s="6" t="s">
        <v>1201</v>
      </c>
      <c r="O199" s="6"/>
      <c r="P199" s="6"/>
      <c r="Q199" s="6" t="s">
        <v>1202</v>
      </c>
      <c r="R199" s="6"/>
      <c r="S199" s="6"/>
      <c r="T199" s="6"/>
      <c r="U199" s="6" t="s">
        <v>268</v>
      </c>
      <c r="V199" s="6" t="s">
        <v>269</v>
      </c>
      <c r="W199" s="10">
        <v>45428.7600347222</v>
      </c>
      <c r="X199" s="6"/>
      <c r="Y199" s="6"/>
      <c r="Z199" s="6"/>
      <c r="AA199" s="6"/>
      <c r="AB199" s="6">
        <v>45428.7600347222</v>
      </c>
      <c r="AC199" s="6" t="s">
        <v>269</v>
      </c>
    </row>
    <row r="200" s="1" customFormat="1" ht="17.25" customHeight="1" spans="1:29">
      <c r="A200" s="5" t="s">
        <v>1203</v>
      </c>
      <c r="B200" s="5" t="s">
        <v>389</v>
      </c>
      <c r="C200" s="5" t="s">
        <v>259</v>
      </c>
      <c r="D200" s="5" t="s">
        <v>27</v>
      </c>
      <c r="E200" s="5"/>
      <c r="F200" s="5" t="s">
        <v>389</v>
      </c>
      <c r="G200" s="5" t="s">
        <v>261</v>
      </c>
      <c r="H200" s="5" t="s">
        <v>1204</v>
      </c>
      <c r="I200" s="5" t="s">
        <v>1203</v>
      </c>
      <c r="J200" s="5" t="s">
        <v>283</v>
      </c>
      <c r="K200" s="5" t="s">
        <v>284</v>
      </c>
      <c r="L200" s="5" t="s">
        <v>1205</v>
      </c>
      <c r="M200" s="5"/>
      <c r="N200" s="5" t="s">
        <v>1206</v>
      </c>
      <c r="O200" s="5"/>
      <c r="P200" s="5"/>
      <c r="Q200" s="5" t="s">
        <v>1207</v>
      </c>
      <c r="R200" s="5"/>
      <c r="S200" s="5"/>
      <c r="T200" s="5"/>
      <c r="U200" s="5" t="s">
        <v>268</v>
      </c>
      <c r="V200" s="5" t="s">
        <v>269</v>
      </c>
      <c r="W200" s="9">
        <v>45428.7600347222</v>
      </c>
      <c r="X200" s="5"/>
      <c r="Y200" s="5"/>
      <c r="Z200" s="5"/>
      <c r="AA200" s="5"/>
      <c r="AB200" s="5">
        <v>45428.7600347222</v>
      </c>
      <c r="AC200" s="5" t="s">
        <v>269</v>
      </c>
    </row>
    <row r="201" s="1" customFormat="1" ht="17.25" customHeight="1" spans="1:29">
      <c r="A201" s="6" t="s">
        <v>1208</v>
      </c>
      <c r="B201" s="6" t="s">
        <v>389</v>
      </c>
      <c r="C201" s="6" t="s">
        <v>259</v>
      </c>
      <c r="D201" s="6" t="s">
        <v>27</v>
      </c>
      <c r="E201" s="6"/>
      <c r="F201" s="6" t="s">
        <v>389</v>
      </c>
      <c r="G201" s="6" t="s">
        <v>261</v>
      </c>
      <c r="H201" s="6" t="s">
        <v>1209</v>
      </c>
      <c r="I201" s="6" t="s">
        <v>1208</v>
      </c>
      <c r="J201" s="6" t="s">
        <v>1210</v>
      </c>
      <c r="K201" s="6" t="s">
        <v>1211</v>
      </c>
      <c r="L201" s="6" t="s">
        <v>1212</v>
      </c>
      <c r="M201" s="6"/>
      <c r="N201" s="6" t="s">
        <v>1213</v>
      </c>
      <c r="O201" s="6"/>
      <c r="P201" s="6"/>
      <c r="Q201" s="6" t="s">
        <v>1214</v>
      </c>
      <c r="R201" s="6"/>
      <c r="S201" s="6"/>
      <c r="T201" s="6"/>
      <c r="U201" s="6" t="s">
        <v>268</v>
      </c>
      <c r="V201" s="6" t="s">
        <v>269</v>
      </c>
      <c r="W201" s="10">
        <v>45428.7600347222</v>
      </c>
      <c r="X201" s="6"/>
      <c r="Y201" s="6"/>
      <c r="Z201" s="6"/>
      <c r="AA201" s="6"/>
      <c r="AB201" s="6">
        <v>45428.7600347222</v>
      </c>
      <c r="AC201" s="6" t="s">
        <v>269</v>
      </c>
    </row>
    <row r="202" s="1" customFormat="1" ht="17.25" customHeight="1" spans="1:29">
      <c r="A202" s="5" t="s">
        <v>1215</v>
      </c>
      <c r="B202" s="5" t="s">
        <v>389</v>
      </c>
      <c r="C202" s="5" t="s">
        <v>259</v>
      </c>
      <c r="D202" s="5" t="s">
        <v>27</v>
      </c>
      <c r="E202" s="5"/>
      <c r="F202" s="5" t="s">
        <v>389</v>
      </c>
      <c r="G202" s="5" t="s">
        <v>261</v>
      </c>
      <c r="H202" s="5" t="s">
        <v>1216</v>
      </c>
      <c r="I202" s="5" t="s">
        <v>1215</v>
      </c>
      <c r="J202" s="5" t="s">
        <v>1217</v>
      </c>
      <c r="K202" s="5" t="s">
        <v>1218</v>
      </c>
      <c r="L202" s="5" t="s">
        <v>1219</v>
      </c>
      <c r="M202" s="5"/>
      <c r="N202" s="5" t="s">
        <v>1220</v>
      </c>
      <c r="O202" s="5"/>
      <c r="P202" s="5"/>
      <c r="Q202" s="5" t="s">
        <v>1221</v>
      </c>
      <c r="R202" s="5"/>
      <c r="S202" s="5"/>
      <c r="T202" s="5"/>
      <c r="U202" s="5" t="s">
        <v>268</v>
      </c>
      <c r="V202" s="5" t="s">
        <v>269</v>
      </c>
      <c r="W202" s="9">
        <v>45428.7600347222</v>
      </c>
      <c r="X202" s="5"/>
      <c r="Y202" s="5"/>
      <c r="Z202" s="5"/>
      <c r="AA202" s="5"/>
      <c r="AB202" s="5">
        <v>45428.7600347222</v>
      </c>
      <c r="AC202" s="5" t="s">
        <v>269</v>
      </c>
    </row>
    <row r="203" s="1" customFormat="1" ht="17.25" customHeight="1" spans="1:29">
      <c r="A203" s="6" t="s">
        <v>1222</v>
      </c>
      <c r="B203" s="6" t="s">
        <v>389</v>
      </c>
      <c r="C203" s="6" t="s">
        <v>259</v>
      </c>
      <c r="D203" s="6" t="s">
        <v>27</v>
      </c>
      <c r="E203" s="6"/>
      <c r="F203" s="6" t="s">
        <v>389</v>
      </c>
      <c r="G203" s="6" t="s">
        <v>261</v>
      </c>
      <c r="H203" s="6" t="s">
        <v>1223</v>
      </c>
      <c r="I203" s="6" t="s">
        <v>1222</v>
      </c>
      <c r="J203" s="6" t="s">
        <v>1224</v>
      </c>
      <c r="K203" s="6" t="s">
        <v>1225</v>
      </c>
      <c r="L203" s="6" t="s">
        <v>1226</v>
      </c>
      <c r="M203" s="6"/>
      <c r="N203" s="6" t="s">
        <v>1227</v>
      </c>
      <c r="O203" s="6"/>
      <c r="P203" s="6"/>
      <c r="Q203" s="6" t="s">
        <v>1228</v>
      </c>
      <c r="R203" s="6"/>
      <c r="S203" s="6"/>
      <c r="T203" s="6"/>
      <c r="U203" s="6" t="s">
        <v>268</v>
      </c>
      <c r="V203" s="6" t="s">
        <v>269</v>
      </c>
      <c r="W203" s="10">
        <v>45428.7600347222</v>
      </c>
      <c r="X203" s="6"/>
      <c r="Y203" s="6"/>
      <c r="Z203" s="6"/>
      <c r="AA203" s="6"/>
      <c r="AB203" s="6">
        <v>45428.7600347222</v>
      </c>
      <c r="AC203" s="6" t="s">
        <v>269</v>
      </c>
    </row>
    <row r="204" s="1" customFormat="1" ht="17.25" customHeight="1" spans="1:29">
      <c r="A204" s="5" t="s">
        <v>1229</v>
      </c>
      <c r="B204" s="5" t="s">
        <v>389</v>
      </c>
      <c r="C204" s="5" t="s">
        <v>259</v>
      </c>
      <c r="D204" s="5" t="s">
        <v>27</v>
      </c>
      <c r="E204" s="5"/>
      <c r="F204" s="5" t="s">
        <v>389</v>
      </c>
      <c r="G204" s="5" t="s">
        <v>261</v>
      </c>
      <c r="H204" s="5" t="s">
        <v>1230</v>
      </c>
      <c r="I204" s="5" t="s">
        <v>1229</v>
      </c>
      <c r="J204" s="5" t="s">
        <v>1224</v>
      </c>
      <c r="K204" s="5" t="s">
        <v>1225</v>
      </c>
      <c r="L204" s="5" t="s">
        <v>1231</v>
      </c>
      <c r="M204" s="5"/>
      <c r="N204" s="5" t="s">
        <v>1232</v>
      </c>
      <c r="O204" s="5"/>
      <c r="P204" s="5"/>
      <c r="Q204" s="5" t="s">
        <v>1233</v>
      </c>
      <c r="R204" s="5"/>
      <c r="S204" s="5"/>
      <c r="T204" s="5"/>
      <c r="U204" s="5" t="s">
        <v>268</v>
      </c>
      <c r="V204" s="5" t="s">
        <v>269</v>
      </c>
      <c r="W204" s="9">
        <v>45428.7600347222</v>
      </c>
      <c r="X204" s="5"/>
      <c r="Y204" s="5"/>
      <c r="Z204" s="5"/>
      <c r="AA204" s="5"/>
      <c r="AB204" s="5">
        <v>45428.7600347222</v>
      </c>
      <c r="AC204" s="5" t="s">
        <v>269</v>
      </c>
    </row>
    <row r="205" s="1" customFormat="1" ht="17.25" customHeight="1" spans="1:29">
      <c r="A205" s="6" t="s">
        <v>1234</v>
      </c>
      <c r="B205" s="6" t="s">
        <v>389</v>
      </c>
      <c r="C205" s="6" t="s">
        <v>259</v>
      </c>
      <c r="D205" s="6" t="s">
        <v>27</v>
      </c>
      <c r="E205" s="6"/>
      <c r="F205" s="6" t="s">
        <v>389</v>
      </c>
      <c r="G205" s="6" t="s">
        <v>261</v>
      </c>
      <c r="H205" s="6" t="s">
        <v>1235</v>
      </c>
      <c r="I205" s="6" t="s">
        <v>1234</v>
      </c>
      <c r="J205" s="6" t="s">
        <v>433</v>
      </c>
      <c r="K205" s="6" t="s">
        <v>434</v>
      </c>
      <c r="L205" s="6" t="s">
        <v>1236</v>
      </c>
      <c r="M205" s="6"/>
      <c r="N205" s="6" t="s">
        <v>1237</v>
      </c>
      <c r="O205" s="6"/>
      <c r="P205" s="6"/>
      <c r="Q205" s="6" t="s">
        <v>1238</v>
      </c>
      <c r="R205" s="6"/>
      <c r="S205" s="6"/>
      <c r="T205" s="6"/>
      <c r="U205" s="6" t="s">
        <v>268</v>
      </c>
      <c r="V205" s="6" t="s">
        <v>269</v>
      </c>
      <c r="W205" s="10">
        <v>45428.7600347222</v>
      </c>
      <c r="X205" s="6"/>
      <c r="Y205" s="6"/>
      <c r="Z205" s="6"/>
      <c r="AA205" s="6"/>
      <c r="AB205" s="6">
        <v>45428.7600347222</v>
      </c>
      <c r="AC205" s="6" t="s">
        <v>269</v>
      </c>
    </row>
    <row r="206" s="1" customFormat="1" ht="17.25" customHeight="1" spans="1:29">
      <c r="A206" s="5" t="s">
        <v>1239</v>
      </c>
      <c r="B206" s="5" t="s">
        <v>389</v>
      </c>
      <c r="C206" s="5" t="s">
        <v>259</v>
      </c>
      <c r="D206" s="5" t="s">
        <v>27</v>
      </c>
      <c r="E206" s="5"/>
      <c r="F206" s="5" t="s">
        <v>389</v>
      </c>
      <c r="G206" s="5" t="s">
        <v>261</v>
      </c>
      <c r="H206" s="5" t="s">
        <v>1240</v>
      </c>
      <c r="I206" s="5" t="s">
        <v>1239</v>
      </c>
      <c r="J206" s="5" t="s">
        <v>611</v>
      </c>
      <c r="K206" s="5" t="s">
        <v>612</v>
      </c>
      <c r="L206" s="5" t="s">
        <v>1241</v>
      </c>
      <c r="M206" s="5"/>
      <c r="N206" s="5" t="s">
        <v>1242</v>
      </c>
      <c r="O206" s="5"/>
      <c r="P206" s="5"/>
      <c r="Q206" s="5" t="s">
        <v>1243</v>
      </c>
      <c r="R206" s="5"/>
      <c r="S206" s="5"/>
      <c r="T206" s="5"/>
      <c r="U206" s="5" t="s">
        <v>268</v>
      </c>
      <c r="V206" s="5" t="s">
        <v>269</v>
      </c>
      <c r="W206" s="9">
        <v>45428.7600347222</v>
      </c>
      <c r="X206" s="5"/>
      <c r="Y206" s="5"/>
      <c r="Z206" s="5"/>
      <c r="AA206" s="5"/>
      <c r="AB206" s="5">
        <v>45428.7600347222</v>
      </c>
      <c r="AC206" s="5" t="s">
        <v>269</v>
      </c>
    </row>
    <row r="207" s="1" customFormat="1" ht="17.25" customHeight="1" spans="1:29">
      <c r="A207" s="6" t="s">
        <v>1244</v>
      </c>
      <c r="B207" s="6" t="s">
        <v>389</v>
      </c>
      <c r="C207" s="6" t="s">
        <v>259</v>
      </c>
      <c r="D207" s="6" t="s">
        <v>27</v>
      </c>
      <c r="E207" s="6"/>
      <c r="F207" s="6" t="s">
        <v>389</v>
      </c>
      <c r="G207" s="6" t="s">
        <v>261</v>
      </c>
      <c r="H207" s="6" t="s">
        <v>1245</v>
      </c>
      <c r="I207" s="6" t="s">
        <v>1244</v>
      </c>
      <c r="J207" s="6" t="s">
        <v>433</v>
      </c>
      <c r="K207" s="6" t="s">
        <v>434</v>
      </c>
      <c r="L207" s="6" t="s">
        <v>1246</v>
      </c>
      <c r="M207" s="6"/>
      <c r="N207" s="6" t="s">
        <v>1247</v>
      </c>
      <c r="O207" s="6"/>
      <c r="P207" s="6"/>
      <c r="Q207" s="6" t="s">
        <v>1248</v>
      </c>
      <c r="R207" s="6"/>
      <c r="S207" s="6"/>
      <c r="T207" s="6"/>
      <c r="U207" s="6" t="s">
        <v>268</v>
      </c>
      <c r="V207" s="6" t="s">
        <v>269</v>
      </c>
      <c r="W207" s="10">
        <v>45428.7600347222</v>
      </c>
      <c r="X207" s="6"/>
      <c r="Y207" s="6"/>
      <c r="Z207" s="6"/>
      <c r="AA207" s="6"/>
      <c r="AB207" s="6">
        <v>45428.7600347222</v>
      </c>
      <c r="AC207" s="6" t="s">
        <v>269</v>
      </c>
    </row>
    <row r="208" s="1" customFormat="1" ht="17.25" customHeight="1" spans="1:29">
      <c r="A208" s="5" t="s">
        <v>1249</v>
      </c>
      <c r="B208" s="5" t="s">
        <v>389</v>
      </c>
      <c r="C208" s="5" t="s">
        <v>259</v>
      </c>
      <c r="D208" s="5" t="s">
        <v>27</v>
      </c>
      <c r="E208" s="5"/>
      <c r="F208" s="5" t="s">
        <v>389</v>
      </c>
      <c r="G208" s="5" t="s">
        <v>261</v>
      </c>
      <c r="H208" s="5" t="s">
        <v>1250</v>
      </c>
      <c r="I208" s="5" t="s">
        <v>1249</v>
      </c>
      <c r="J208" s="5" t="s">
        <v>402</v>
      </c>
      <c r="K208" s="5" t="s">
        <v>403</v>
      </c>
      <c r="L208" s="5" t="s">
        <v>1251</v>
      </c>
      <c r="M208" s="5"/>
      <c r="N208" s="5" t="s">
        <v>1252</v>
      </c>
      <c r="O208" s="5"/>
      <c r="P208" s="5"/>
      <c r="Q208" s="5" t="s">
        <v>1253</v>
      </c>
      <c r="R208" s="5"/>
      <c r="S208" s="5"/>
      <c r="T208" s="5"/>
      <c r="U208" s="5" t="s">
        <v>268</v>
      </c>
      <c r="V208" s="5" t="s">
        <v>269</v>
      </c>
      <c r="W208" s="9">
        <v>45428.7600347222</v>
      </c>
      <c r="X208" s="5"/>
      <c r="Y208" s="5"/>
      <c r="Z208" s="5"/>
      <c r="AA208" s="5"/>
      <c r="AB208" s="5">
        <v>45428.7600347222</v>
      </c>
      <c r="AC208" s="5" t="s">
        <v>269</v>
      </c>
    </row>
    <row r="209" s="1" customFormat="1" ht="17.25" customHeight="1" spans="1:29">
      <c r="A209" s="6" t="s">
        <v>1254</v>
      </c>
      <c r="B209" s="6" t="s">
        <v>389</v>
      </c>
      <c r="C209" s="6" t="s">
        <v>259</v>
      </c>
      <c r="D209" s="6" t="s">
        <v>27</v>
      </c>
      <c r="E209" s="6"/>
      <c r="F209" s="6" t="s">
        <v>389</v>
      </c>
      <c r="G209" s="6" t="s">
        <v>261</v>
      </c>
      <c r="H209" s="6" t="s">
        <v>1255</v>
      </c>
      <c r="I209" s="6" t="s">
        <v>1254</v>
      </c>
      <c r="J209" s="6" t="s">
        <v>433</v>
      </c>
      <c r="K209" s="6" t="s">
        <v>434</v>
      </c>
      <c r="L209" s="6" t="s">
        <v>1256</v>
      </c>
      <c r="M209" s="6"/>
      <c r="N209" s="6" t="s">
        <v>1257</v>
      </c>
      <c r="O209" s="6"/>
      <c r="P209" s="6"/>
      <c r="Q209" s="6" t="s">
        <v>1258</v>
      </c>
      <c r="R209" s="6"/>
      <c r="S209" s="6"/>
      <c r="T209" s="6"/>
      <c r="U209" s="6" t="s">
        <v>268</v>
      </c>
      <c r="V209" s="6" t="s">
        <v>269</v>
      </c>
      <c r="W209" s="10">
        <v>45428.7600347222</v>
      </c>
      <c r="X209" s="6"/>
      <c r="Y209" s="6"/>
      <c r="Z209" s="6"/>
      <c r="AA209" s="6"/>
      <c r="AB209" s="6">
        <v>45428.7600347222</v>
      </c>
      <c r="AC209" s="6" t="s">
        <v>269</v>
      </c>
    </row>
    <row r="210" s="1" customFormat="1" ht="17.25" customHeight="1" spans="1:29">
      <c r="A210" s="5" t="s">
        <v>1259</v>
      </c>
      <c r="B210" s="5" t="s">
        <v>389</v>
      </c>
      <c r="C210" s="5" t="s">
        <v>259</v>
      </c>
      <c r="D210" s="5" t="s">
        <v>27</v>
      </c>
      <c r="E210" s="5"/>
      <c r="F210" s="5" t="s">
        <v>389</v>
      </c>
      <c r="G210" s="5" t="s">
        <v>261</v>
      </c>
      <c r="H210" s="5" t="s">
        <v>1260</v>
      </c>
      <c r="I210" s="5" t="s">
        <v>1259</v>
      </c>
      <c r="J210" s="5" t="s">
        <v>283</v>
      </c>
      <c r="K210" s="5" t="s">
        <v>284</v>
      </c>
      <c r="L210" s="5" t="s">
        <v>1261</v>
      </c>
      <c r="M210" s="5"/>
      <c r="N210" s="5" t="s">
        <v>1262</v>
      </c>
      <c r="O210" s="5"/>
      <c r="P210" s="5"/>
      <c r="Q210" s="5" t="s">
        <v>1263</v>
      </c>
      <c r="R210" s="5"/>
      <c r="S210" s="5"/>
      <c r="T210" s="5"/>
      <c r="U210" s="5" t="s">
        <v>268</v>
      </c>
      <c r="V210" s="5" t="s">
        <v>269</v>
      </c>
      <c r="W210" s="9">
        <v>45428.7600347222</v>
      </c>
      <c r="X210" s="5"/>
      <c r="Y210" s="5"/>
      <c r="Z210" s="5"/>
      <c r="AA210" s="5"/>
      <c r="AB210" s="5">
        <v>45428.7600347222</v>
      </c>
      <c r="AC210" s="5" t="s">
        <v>269</v>
      </c>
    </row>
    <row r="211" s="1" customFormat="1" ht="17.25" customHeight="1" spans="1:29">
      <c r="A211" s="6" t="s">
        <v>1264</v>
      </c>
      <c r="B211" s="6" t="s">
        <v>389</v>
      </c>
      <c r="C211" s="6" t="s">
        <v>259</v>
      </c>
      <c r="D211" s="6" t="s">
        <v>27</v>
      </c>
      <c r="E211" s="6"/>
      <c r="F211" s="6" t="s">
        <v>389</v>
      </c>
      <c r="G211" s="6" t="s">
        <v>261</v>
      </c>
      <c r="H211" s="6" t="s">
        <v>1265</v>
      </c>
      <c r="I211" s="6" t="s">
        <v>1264</v>
      </c>
      <c r="J211" s="6" t="s">
        <v>283</v>
      </c>
      <c r="K211" s="6" t="s">
        <v>284</v>
      </c>
      <c r="L211" s="6" t="s">
        <v>1266</v>
      </c>
      <c r="M211" s="6"/>
      <c r="N211" s="6" t="s">
        <v>1267</v>
      </c>
      <c r="O211" s="6"/>
      <c r="P211" s="6"/>
      <c r="Q211" s="6" t="s">
        <v>1268</v>
      </c>
      <c r="R211" s="6"/>
      <c r="S211" s="6"/>
      <c r="T211" s="6"/>
      <c r="U211" s="6" t="s">
        <v>268</v>
      </c>
      <c r="V211" s="6" t="s">
        <v>269</v>
      </c>
      <c r="W211" s="10">
        <v>45428.7600347222</v>
      </c>
      <c r="X211" s="6"/>
      <c r="Y211" s="6"/>
      <c r="Z211" s="6"/>
      <c r="AA211" s="6"/>
      <c r="AB211" s="6">
        <v>45428.7600347222</v>
      </c>
      <c r="AC211" s="6" t="s">
        <v>269</v>
      </c>
    </row>
    <row r="212" s="1" customFormat="1" ht="17.25" customHeight="1" spans="1:29">
      <c r="A212" s="5" t="s">
        <v>1269</v>
      </c>
      <c r="B212" s="5" t="s">
        <v>389</v>
      </c>
      <c r="C212" s="5" t="s">
        <v>259</v>
      </c>
      <c r="D212" s="5" t="s">
        <v>27</v>
      </c>
      <c r="E212" s="5"/>
      <c r="F212" s="5" t="s">
        <v>389</v>
      </c>
      <c r="G212" s="5" t="s">
        <v>261</v>
      </c>
      <c r="H212" s="5" t="s">
        <v>1270</v>
      </c>
      <c r="I212" s="5" t="s">
        <v>1269</v>
      </c>
      <c r="J212" s="5" t="s">
        <v>433</v>
      </c>
      <c r="K212" s="5" t="s">
        <v>434</v>
      </c>
      <c r="L212" s="5" t="s">
        <v>1256</v>
      </c>
      <c r="M212" s="5"/>
      <c r="N212" s="5" t="s">
        <v>1257</v>
      </c>
      <c r="O212" s="5"/>
      <c r="P212" s="5"/>
      <c r="Q212" s="5" t="s">
        <v>1271</v>
      </c>
      <c r="R212" s="5"/>
      <c r="S212" s="5"/>
      <c r="T212" s="5"/>
      <c r="U212" s="5" t="s">
        <v>268</v>
      </c>
      <c r="V212" s="5" t="s">
        <v>269</v>
      </c>
      <c r="W212" s="9">
        <v>45428.7600347222</v>
      </c>
      <c r="X212" s="5"/>
      <c r="Y212" s="5"/>
      <c r="Z212" s="5"/>
      <c r="AA212" s="5"/>
      <c r="AB212" s="5">
        <v>45428.7600347222</v>
      </c>
      <c r="AC212" s="5" t="s">
        <v>269</v>
      </c>
    </row>
    <row r="213" s="1" customFormat="1" ht="17.25" customHeight="1" spans="1:29">
      <c r="A213" s="6" t="s">
        <v>1272</v>
      </c>
      <c r="B213" s="6" t="s">
        <v>389</v>
      </c>
      <c r="C213" s="6" t="s">
        <v>259</v>
      </c>
      <c r="D213" s="6" t="s">
        <v>27</v>
      </c>
      <c r="E213" s="6"/>
      <c r="F213" s="6" t="s">
        <v>389</v>
      </c>
      <c r="G213" s="6" t="s">
        <v>261</v>
      </c>
      <c r="H213" s="6" t="s">
        <v>1273</v>
      </c>
      <c r="I213" s="6" t="s">
        <v>1272</v>
      </c>
      <c r="J213" s="6" t="s">
        <v>331</v>
      </c>
      <c r="K213" s="6" t="s">
        <v>332</v>
      </c>
      <c r="L213" s="6" t="s">
        <v>1274</v>
      </c>
      <c r="M213" s="6"/>
      <c r="N213" s="6" t="s">
        <v>1275</v>
      </c>
      <c r="O213" s="6"/>
      <c r="P213" s="6"/>
      <c r="Q213" s="6" t="s">
        <v>1276</v>
      </c>
      <c r="R213" s="6"/>
      <c r="S213" s="6"/>
      <c r="T213" s="6"/>
      <c r="U213" s="6" t="s">
        <v>268</v>
      </c>
      <c r="V213" s="6" t="s">
        <v>269</v>
      </c>
      <c r="W213" s="10">
        <v>45428.7600347222</v>
      </c>
      <c r="X213" s="6"/>
      <c r="Y213" s="6"/>
      <c r="Z213" s="6"/>
      <c r="AA213" s="6"/>
      <c r="AB213" s="6">
        <v>45428.7600347222</v>
      </c>
      <c r="AC213" s="6" t="s">
        <v>269</v>
      </c>
    </row>
    <row r="214" s="1" customFormat="1" ht="17.25" customHeight="1" spans="1:29">
      <c r="A214" s="5" t="s">
        <v>1277</v>
      </c>
      <c r="B214" s="5" t="s">
        <v>389</v>
      </c>
      <c r="C214" s="5" t="s">
        <v>259</v>
      </c>
      <c r="D214" s="5" t="s">
        <v>27</v>
      </c>
      <c r="E214" s="5"/>
      <c r="F214" s="5" t="s">
        <v>389</v>
      </c>
      <c r="G214" s="5" t="s">
        <v>261</v>
      </c>
      <c r="H214" s="5" t="s">
        <v>1278</v>
      </c>
      <c r="I214" s="5" t="s">
        <v>1277</v>
      </c>
      <c r="J214" s="5" t="s">
        <v>331</v>
      </c>
      <c r="K214" s="5" t="s">
        <v>332</v>
      </c>
      <c r="L214" s="5" t="s">
        <v>1279</v>
      </c>
      <c r="M214" s="5"/>
      <c r="N214" s="5" t="s">
        <v>1280</v>
      </c>
      <c r="O214" s="5"/>
      <c r="P214" s="5"/>
      <c r="Q214" s="5" t="s">
        <v>589</v>
      </c>
      <c r="R214" s="5"/>
      <c r="S214" s="5"/>
      <c r="T214" s="5"/>
      <c r="U214" s="5" t="s">
        <v>268</v>
      </c>
      <c r="V214" s="5" t="s">
        <v>269</v>
      </c>
      <c r="W214" s="9">
        <v>45428.7600347222</v>
      </c>
      <c r="X214" s="5"/>
      <c r="Y214" s="5"/>
      <c r="Z214" s="5"/>
      <c r="AA214" s="5"/>
      <c r="AB214" s="5">
        <v>45428.7600347222</v>
      </c>
      <c r="AC214" s="5" t="s">
        <v>269</v>
      </c>
    </row>
    <row r="215" s="1" customFormat="1" ht="17.25" customHeight="1" spans="1:29">
      <c r="A215" s="6" t="s">
        <v>1281</v>
      </c>
      <c r="B215" s="6" t="s">
        <v>389</v>
      </c>
      <c r="C215" s="6" t="s">
        <v>259</v>
      </c>
      <c r="D215" s="6" t="s">
        <v>27</v>
      </c>
      <c r="E215" s="6"/>
      <c r="F215" s="6" t="s">
        <v>389</v>
      </c>
      <c r="G215" s="6" t="s">
        <v>261</v>
      </c>
      <c r="H215" s="6" t="s">
        <v>1282</v>
      </c>
      <c r="I215" s="6" t="s">
        <v>1281</v>
      </c>
      <c r="J215" s="6" t="s">
        <v>364</v>
      </c>
      <c r="K215" s="6" t="s">
        <v>365</v>
      </c>
      <c r="L215" s="6" t="s">
        <v>772</v>
      </c>
      <c r="M215" s="6"/>
      <c r="N215" s="6" t="s">
        <v>1283</v>
      </c>
      <c r="O215" s="6"/>
      <c r="P215" s="6"/>
      <c r="Q215" s="6" t="s">
        <v>774</v>
      </c>
      <c r="R215" s="6"/>
      <c r="S215" s="6"/>
      <c r="T215" s="6"/>
      <c r="U215" s="6" t="s">
        <v>268</v>
      </c>
      <c r="V215" s="6" t="s">
        <v>269</v>
      </c>
      <c r="W215" s="10">
        <v>45428.7600347222</v>
      </c>
      <c r="X215" s="6"/>
      <c r="Y215" s="6"/>
      <c r="Z215" s="6"/>
      <c r="AA215" s="6"/>
      <c r="AB215" s="6">
        <v>45428.7600347222</v>
      </c>
      <c r="AC215" s="6" t="s">
        <v>269</v>
      </c>
    </row>
    <row r="216" s="1" customFormat="1" ht="17.25" customHeight="1" spans="1:29">
      <c r="A216" s="5" t="s">
        <v>1284</v>
      </c>
      <c r="B216" s="5" t="s">
        <v>389</v>
      </c>
      <c r="C216" s="5" t="s">
        <v>259</v>
      </c>
      <c r="D216" s="5" t="s">
        <v>27</v>
      </c>
      <c r="E216" s="5"/>
      <c r="F216" s="5" t="s">
        <v>389</v>
      </c>
      <c r="G216" s="5" t="s">
        <v>261</v>
      </c>
      <c r="H216" s="5" t="s">
        <v>1285</v>
      </c>
      <c r="I216" s="5" t="s">
        <v>1284</v>
      </c>
      <c r="J216" s="5" t="s">
        <v>364</v>
      </c>
      <c r="K216" s="5" t="s">
        <v>365</v>
      </c>
      <c r="L216" s="5" t="s">
        <v>1286</v>
      </c>
      <c r="M216" s="5"/>
      <c r="N216" s="5" t="s">
        <v>1287</v>
      </c>
      <c r="O216" s="5"/>
      <c r="P216" s="5"/>
      <c r="Q216" s="5" t="s">
        <v>1288</v>
      </c>
      <c r="R216" s="5"/>
      <c r="S216" s="5"/>
      <c r="T216" s="5"/>
      <c r="U216" s="5" t="s">
        <v>268</v>
      </c>
      <c r="V216" s="5" t="s">
        <v>269</v>
      </c>
      <c r="W216" s="9">
        <v>45428.7600347222</v>
      </c>
      <c r="X216" s="5"/>
      <c r="Y216" s="5"/>
      <c r="Z216" s="5"/>
      <c r="AA216" s="5"/>
      <c r="AB216" s="5">
        <v>45428.7600347222</v>
      </c>
      <c r="AC216" s="5" t="s">
        <v>269</v>
      </c>
    </row>
    <row r="217" s="1" customFormat="1" ht="17.25" customHeight="1" spans="1:29">
      <c r="A217" s="6" t="s">
        <v>1289</v>
      </c>
      <c r="B217" s="6" t="s">
        <v>389</v>
      </c>
      <c r="C217" s="6" t="s">
        <v>259</v>
      </c>
      <c r="D217" s="6" t="s">
        <v>27</v>
      </c>
      <c r="E217" s="6"/>
      <c r="F217" s="6" t="s">
        <v>389</v>
      </c>
      <c r="G217" s="6" t="s">
        <v>261</v>
      </c>
      <c r="H217" s="6" t="s">
        <v>1290</v>
      </c>
      <c r="I217" s="6" t="s">
        <v>1289</v>
      </c>
      <c r="J217" s="6" t="s">
        <v>695</v>
      </c>
      <c r="K217" s="6" t="s">
        <v>696</v>
      </c>
      <c r="L217" s="6" t="s">
        <v>1291</v>
      </c>
      <c r="M217" s="6"/>
      <c r="N217" s="6" t="s">
        <v>1292</v>
      </c>
      <c r="O217" s="6"/>
      <c r="P217" s="6"/>
      <c r="Q217" s="6" t="s">
        <v>708</v>
      </c>
      <c r="R217" s="6"/>
      <c r="S217" s="6"/>
      <c r="T217" s="6"/>
      <c r="U217" s="6" t="s">
        <v>268</v>
      </c>
      <c r="V217" s="6" t="s">
        <v>269</v>
      </c>
      <c r="W217" s="10">
        <v>45428.7600347222</v>
      </c>
      <c r="X217" s="6"/>
      <c r="Y217" s="6"/>
      <c r="Z217" s="6"/>
      <c r="AA217" s="6"/>
      <c r="AB217" s="6">
        <v>45428.7600347222</v>
      </c>
      <c r="AC217" s="6" t="s">
        <v>269</v>
      </c>
    </row>
    <row r="218" s="1" customFormat="1" ht="17.25" customHeight="1" spans="1:29">
      <c r="A218" s="5" t="s">
        <v>1293</v>
      </c>
      <c r="B218" s="5" t="s">
        <v>389</v>
      </c>
      <c r="C218" s="5" t="s">
        <v>259</v>
      </c>
      <c r="D218" s="5" t="s">
        <v>27</v>
      </c>
      <c r="E218" s="5"/>
      <c r="F218" s="5" t="s">
        <v>389</v>
      </c>
      <c r="G218" s="5" t="s">
        <v>261</v>
      </c>
      <c r="H218" s="5" t="s">
        <v>1294</v>
      </c>
      <c r="I218" s="5" t="s">
        <v>1293</v>
      </c>
      <c r="J218" s="5" t="s">
        <v>695</v>
      </c>
      <c r="K218" s="5" t="s">
        <v>696</v>
      </c>
      <c r="L218" s="5" t="s">
        <v>1291</v>
      </c>
      <c r="M218" s="5"/>
      <c r="N218" s="5" t="s">
        <v>1295</v>
      </c>
      <c r="O218" s="5"/>
      <c r="P218" s="5"/>
      <c r="Q218" s="5" t="s">
        <v>708</v>
      </c>
      <c r="R218" s="5"/>
      <c r="S218" s="5"/>
      <c r="T218" s="5"/>
      <c r="U218" s="5" t="s">
        <v>268</v>
      </c>
      <c r="V218" s="5" t="s">
        <v>269</v>
      </c>
      <c r="W218" s="9">
        <v>45428.7600347222</v>
      </c>
      <c r="X218" s="5"/>
      <c r="Y218" s="5"/>
      <c r="Z218" s="5"/>
      <c r="AA218" s="5"/>
      <c r="AB218" s="5">
        <v>45428.7600347222</v>
      </c>
      <c r="AC218" s="5" t="s">
        <v>269</v>
      </c>
    </row>
    <row r="219" s="1" customFormat="1" ht="17.25" customHeight="1" spans="1:29">
      <c r="A219" s="6" t="s">
        <v>1296</v>
      </c>
      <c r="B219" s="6" t="s">
        <v>389</v>
      </c>
      <c r="C219" s="6" t="s">
        <v>259</v>
      </c>
      <c r="D219" s="6" t="s">
        <v>27</v>
      </c>
      <c r="E219" s="6"/>
      <c r="F219" s="6" t="s">
        <v>389</v>
      </c>
      <c r="G219" s="6" t="s">
        <v>261</v>
      </c>
      <c r="H219" s="6" t="s">
        <v>1297</v>
      </c>
      <c r="I219" s="6" t="s">
        <v>1296</v>
      </c>
      <c r="J219" s="6" t="s">
        <v>350</v>
      </c>
      <c r="K219" s="6" t="s">
        <v>351</v>
      </c>
      <c r="L219" s="6" t="s">
        <v>1298</v>
      </c>
      <c r="M219" s="6"/>
      <c r="N219" s="6" t="s">
        <v>1299</v>
      </c>
      <c r="O219" s="6"/>
      <c r="P219" s="6"/>
      <c r="Q219" s="6" t="s">
        <v>1300</v>
      </c>
      <c r="R219" s="6"/>
      <c r="S219" s="6"/>
      <c r="T219" s="6"/>
      <c r="U219" s="6" t="s">
        <v>268</v>
      </c>
      <c r="V219" s="6" t="s">
        <v>269</v>
      </c>
      <c r="W219" s="10">
        <v>45428.7600347222</v>
      </c>
      <c r="X219" s="6"/>
      <c r="Y219" s="6"/>
      <c r="Z219" s="6"/>
      <c r="AA219" s="6"/>
      <c r="AB219" s="6">
        <v>45428.7600347222</v>
      </c>
      <c r="AC219" s="6" t="s">
        <v>269</v>
      </c>
    </row>
    <row r="220" s="1" customFormat="1" ht="17.25" customHeight="1" spans="1:29">
      <c r="A220" s="5" t="s">
        <v>1301</v>
      </c>
      <c r="B220" s="5" t="s">
        <v>389</v>
      </c>
      <c r="C220" s="5" t="s">
        <v>259</v>
      </c>
      <c r="D220" s="5" t="s">
        <v>27</v>
      </c>
      <c r="E220" s="5"/>
      <c r="F220" s="5" t="s">
        <v>389</v>
      </c>
      <c r="G220" s="5" t="s">
        <v>261</v>
      </c>
      <c r="H220" s="5" t="s">
        <v>1302</v>
      </c>
      <c r="I220" s="5" t="s">
        <v>1301</v>
      </c>
      <c r="J220" s="5" t="s">
        <v>350</v>
      </c>
      <c r="K220" s="5" t="s">
        <v>351</v>
      </c>
      <c r="L220" s="5" t="s">
        <v>1298</v>
      </c>
      <c r="M220" s="5"/>
      <c r="N220" s="5" t="s">
        <v>1303</v>
      </c>
      <c r="O220" s="5"/>
      <c r="P220" s="5"/>
      <c r="Q220" s="5" t="s">
        <v>1304</v>
      </c>
      <c r="R220" s="5"/>
      <c r="S220" s="5"/>
      <c r="T220" s="5"/>
      <c r="U220" s="5" t="s">
        <v>268</v>
      </c>
      <c r="V220" s="5" t="s">
        <v>269</v>
      </c>
      <c r="W220" s="9">
        <v>45428.7600347222</v>
      </c>
      <c r="X220" s="5"/>
      <c r="Y220" s="5"/>
      <c r="Z220" s="5"/>
      <c r="AA220" s="5"/>
      <c r="AB220" s="5">
        <v>45428.7600347222</v>
      </c>
      <c r="AC220" s="5" t="s">
        <v>269</v>
      </c>
    </row>
    <row r="221" s="1" customFormat="1" ht="17.25" customHeight="1" spans="1:29">
      <c r="A221" s="6" t="s">
        <v>1305</v>
      </c>
      <c r="B221" s="6" t="s">
        <v>389</v>
      </c>
      <c r="C221" s="6" t="s">
        <v>259</v>
      </c>
      <c r="D221" s="6" t="s">
        <v>27</v>
      </c>
      <c r="E221" s="6"/>
      <c r="F221" s="6" t="s">
        <v>389</v>
      </c>
      <c r="G221" s="6" t="s">
        <v>261</v>
      </c>
      <c r="H221" s="6" t="s">
        <v>1306</v>
      </c>
      <c r="I221" s="6" t="s">
        <v>1305</v>
      </c>
      <c r="J221" s="6" t="s">
        <v>797</v>
      </c>
      <c r="K221" s="6" t="s">
        <v>798</v>
      </c>
      <c r="L221" s="6" t="s">
        <v>1307</v>
      </c>
      <c r="M221" s="6"/>
      <c r="N221" s="6" t="s">
        <v>1308</v>
      </c>
      <c r="O221" s="6"/>
      <c r="P221" s="6"/>
      <c r="Q221" s="6" t="s">
        <v>1309</v>
      </c>
      <c r="R221" s="6"/>
      <c r="S221" s="6"/>
      <c r="T221" s="6"/>
      <c r="U221" s="6" t="s">
        <v>268</v>
      </c>
      <c r="V221" s="6" t="s">
        <v>269</v>
      </c>
      <c r="W221" s="10">
        <v>45428.7600347222</v>
      </c>
      <c r="X221" s="6"/>
      <c r="Y221" s="6"/>
      <c r="Z221" s="6"/>
      <c r="AA221" s="6"/>
      <c r="AB221" s="6">
        <v>45428.7600347222</v>
      </c>
      <c r="AC221" s="6" t="s">
        <v>269</v>
      </c>
    </row>
    <row r="222" s="1" customFormat="1" ht="17.25" customHeight="1" spans="1:29">
      <c r="A222" s="5" t="s">
        <v>1310</v>
      </c>
      <c r="B222" s="5" t="s">
        <v>389</v>
      </c>
      <c r="C222" s="5" t="s">
        <v>259</v>
      </c>
      <c r="D222" s="5" t="s">
        <v>27</v>
      </c>
      <c r="E222" s="5"/>
      <c r="F222" s="5" t="s">
        <v>389</v>
      </c>
      <c r="G222" s="5" t="s">
        <v>261</v>
      </c>
      <c r="H222" s="5" t="s">
        <v>1311</v>
      </c>
      <c r="I222" s="5" t="s">
        <v>1310</v>
      </c>
      <c r="J222" s="5" t="s">
        <v>1312</v>
      </c>
      <c r="K222" s="5" t="s">
        <v>1313</v>
      </c>
      <c r="L222" s="5" t="s">
        <v>1314</v>
      </c>
      <c r="M222" s="5"/>
      <c r="N222" s="5" t="s">
        <v>1315</v>
      </c>
      <c r="O222" s="5"/>
      <c r="P222" s="5"/>
      <c r="Q222" s="5" t="s">
        <v>1316</v>
      </c>
      <c r="R222" s="5"/>
      <c r="S222" s="5"/>
      <c r="T222" s="5"/>
      <c r="U222" s="5" t="s">
        <v>268</v>
      </c>
      <c r="V222" s="5" t="s">
        <v>269</v>
      </c>
      <c r="W222" s="9">
        <v>45428.7600347222</v>
      </c>
      <c r="X222" s="5"/>
      <c r="Y222" s="5"/>
      <c r="Z222" s="5"/>
      <c r="AA222" s="5"/>
      <c r="AB222" s="5">
        <v>45428.7600347222</v>
      </c>
      <c r="AC222" s="5" t="s">
        <v>269</v>
      </c>
    </row>
    <row r="223" s="1" customFormat="1" ht="17.25" customHeight="1" spans="1:29">
      <c r="A223" s="6" t="s">
        <v>1317</v>
      </c>
      <c r="B223" s="6" t="s">
        <v>389</v>
      </c>
      <c r="C223" s="6" t="s">
        <v>259</v>
      </c>
      <c r="D223" s="6" t="s">
        <v>27</v>
      </c>
      <c r="E223" s="6"/>
      <c r="F223" s="6" t="s">
        <v>389</v>
      </c>
      <c r="G223" s="6" t="s">
        <v>261</v>
      </c>
      <c r="H223" s="6" t="s">
        <v>1318</v>
      </c>
      <c r="I223" s="6" t="s">
        <v>1317</v>
      </c>
      <c r="J223" s="6" t="s">
        <v>1319</v>
      </c>
      <c r="K223" s="6"/>
      <c r="L223" s="6" t="s">
        <v>1320</v>
      </c>
      <c r="M223" s="6"/>
      <c r="N223" s="6" t="s">
        <v>1321</v>
      </c>
      <c r="O223" s="6"/>
      <c r="P223" s="6"/>
      <c r="Q223" s="6" t="s">
        <v>1322</v>
      </c>
      <c r="R223" s="6"/>
      <c r="S223" s="6"/>
      <c r="T223" s="6"/>
      <c r="U223" s="6" t="s">
        <v>268</v>
      </c>
      <c r="V223" s="6" t="s">
        <v>269</v>
      </c>
      <c r="W223" s="10">
        <v>45428.7600347222</v>
      </c>
      <c r="X223" s="6"/>
      <c r="Y223" s="6"/>
      <c r="Z223" s="6"/>
      <c r="AA223" s="6"/>
      <c r="AB223" s="6">
        <v>45428.7600347222</v>
      </c>
      <c r="AC223" s="6" t="s">
        <v>269</v>
      </c>
    </row>
    <row r="224" s="1" customFormat="1" ht="17.25" customHeight="1" spans="1:29">
      <c r="A224" s="5" t="s">
        <v>1323</v>
      </c>
      <c r="B224" s="5" t="s">
        <v>389</v>
      </c>
      <c r="C224" s="5" t="s">
        <v>259</v>
      </c>
      <c r="D224" s="5" t="s">
        <v>27</v>
      </c>
      <c r="E224" s="5"/>
      <c r="F224" s="5" t="s">
        <v>389</v>
      </c>
      <c r="G224" s="5" t="s">
        <v>261</v>
      </c>
      <c r="H224" s="5" t="s">
        <v>1324</v>
      </c>
      <c r="I224" s="5" t="s">
        <v>1323</v>
      </c>
      <c r="J224" s="5" t="s">
        <v>338</v>
      </c>
      <c r="K224" s="5" t="s">
        <v>339</v>
      </c>
      <c r="L224" s="5" t="s">
        <v>1135</v>
      </c>
      <c r="M224" s="5"/>
      <c r="N224" s="5" t="s">
        <v>1325</v>
      </c>
      <c r="O224" s="5"/>
      <c r="P224" s="5"/>
      <c r="Q224" s="5" t="s">
        <v>1137</v>
      </c>
      <c r="R224" s="5"/>
      <c r="S224" s="5"/>
      <c r="T224" s="5"/>
      <c r="U224" s="5" t="s">
        <v>268</v>
      </c>
      <c r="V224" s="5" t="s">
        <v>269</v>
      </c>
      <c r="W224" s="9">
        <v>45428.7600347222</v>
      </c>
      <c r="X224" s="5"/>
      <c r="Y224" s="5"/>
      <c r="Z224" s="5"/>
      <c r="AA224" s="5"/>
      <c r="AB224" s="5">
        <v>45428.7600347222</v>
      </c>
      <c r="AC224" s="5" t="s">
        <v>269</v>
      </c>
    </row>
    <row r="225" s="1" customFormat="1" ht="17.25" customHeight="1" spans="1:29">
      <c r="A225" s="6" t="s">
        <v>1326</v>
      </c>
      <c r="B225" s="6" t="s">
        <v>389</v>
      </c>
      <c r="C225" s="6" t="s">
        <v>259</v>
      </c>
      <c r="D225" s="6" t="s">
        <v>27</v>
      </c>
      <c r="E225" s="6"/>
      <c r="F225" s="6" t="s">
        <v>389</v>
      </c>
      <c r="G225" s="6" t="s">
        <v>261</v>
      </c>
      <c r="H225" s="6" t="s">
        <v>1327</v>
      </c>
      <c r="I225" s="6" t="s">
        <v>1326</v>
      </c>
      <c r="J225" s="6" t="s">
        <v>433</v>
      </c>
      <c r="K225" s="6" t="s">
        <v>434</v>
      </c>
      <c r="L225" s="6" t="s">
        <v>1328</v>
      </c>
      <c r="M225" s="6"/>
      <c r="N225" s="6" t="s">
        <v>1329</v>
      </c>
      <c r="O225" s="6"/>
      <c r="P225" s="6"/>
      <c r="Q225" s="6" t="s">
        <v>1330</v>
      </c>
      <c r="R225" s="6"/>
      <c r="S225" s="6"/>
      <c r="T225" s="6"/>
      <c r="U225" s="6" t="s">
        <v>268</v>
      </c>
      <c r="V225" s="6" t="s">
        <v>269</v>
      </c>
      <c r="W225" s="10">
        <v>45428.7600347222</v>
      </c>
      <c r="X225" s="6"/>
      <c r="Y225" s="6"/>
      <c r="Z225" s="6"/>
      <c r="AA225" s="6"/>
      <c r="AB225" s="6">
        <v>45428.7600347222</v>
      </c>
      <c r="AC225" s="6" t="s">
        <v>269</v>
      </c>
    </row>
    <row r="226" s="1" customFormat="1" ht="17.25" customHeight="1" spans="1:29">
      <c r="A226" s="5" t="s">
        <v>1331</v>
      </c>
      <c r="B226" s="5" t="s">
        <v>389</v>
      </c>
      <c r="C226" s="5" t="s">
        <v>259</v>
      </c>
      <c r="D226" s="5" t="s">
        <v>27</v>
      </c>
      <c r="E226" s="5"/>
      <c r="F226" s="5" t="s">
        <v>389</v>
      </c>
      <c r="G226" s="5" t="s">
        <v>261</v>
      </c>
      <c r="H226" s="5" t="s">
        <v>1332</v>
      </c>
      <c r="I226" s="5" t="s">
        <v>1331</v>
      </c>
      <c r="J226" s="5" t="s">
        <v>338</v>
      </c>
      <c r="K226" s="5" t="s">
        <v>339</v>
      </c>
      <c r="L226" s="5" t="s">
        <v>1333</v>
      </c>
      <c r="M226" s="5"/>
      <c r="N226" s="5" t="s">
        <v>1334</v>
      </c>
      <c r="O226" s="5"/>
      <c r="P226" s="5"/>
      <c r="Q226" s="5" t="s">
        <v>1335</v>
      </c>
      <c r="R226" s="5"/>
      <c r="S226" s="5"/>
      <c r="T226" s="5"/>
      <c r="U226" s="5" t="s">
        <v>268</v>
      </c>
      <c r="V226" s="5" t="s">
        <v>269</v>
      </c>
      <c r="W226" s="9">
        <v>45428.7600347222</v>
      </c>
      <c r="X226" s="5"/>
      <c r="Y226" s="5"/>
      <c r="Z226" s="5"/>
      <c r="AA226" s="5"/>
      <c r="AB226" s="5">
        <v>45428.7600347222</v>
      </c>
      <c r="AC226" s="5" t="s">
        <v>269</v>
      </c>
    </row>
    <row r="227" s="1" customFormat="1" ht="17.25" customHeight="1" spans="1:29">
      <c r="A227" s="6" t="s">
        <v>1336</v>
      </c>
      <c r="B227" s="6" t="s">
        <v>389</v>
      </c>
      <c r="C227" s="6" t="s">
        <v>259</v>
      </c>
      <c r="D227" s="6" t="s">
        <v>27</v>
      </c>
      <c r="E227" s="6"/>
      <c r="F227" s="6" t="s">
        <v>389</v>
      </c>
      <c r="G227" s="6" t="s">
        <v>261</v>
      </c>
      <c r="H227" s="6" t="s">
        <v>1337</v>
      </c>
      <c r="I227" s="6" t="s">
        <v>1336</v>
      </c>
      <c r="J227" s="6" t="s">
        <v>378</v>
      </c>
      <c r="K227" s="6" t="s">
        <v>379</v>
      </c>
      <c r="L227" s="6" t="s">
        <v>1338</v>
      </c>
      <c r="M227" s="6"/>
      <c r="N227" s="6" t="s">
        <v>1339</v>
      </c>
      <c r="O227" s="6"/>
      <c r="P227" s="6"/>
      <c r="Q227" s="6" t="s">
        <v>1340</v>
      </c>
      <c r="R227" s="6"/>
      <c r="S227" s="6"/>
      <c r="T227" s="6"/>
      <c r="U227" s="6" t="s">
        <v>268</v>
      </c>
      <c r="V227" s="6" t="s">
        <v>269</v>
      </c>
      <c r="W227" s="10">
        <v>45428.7600347222</v>
      </c>
      <c r="X227" s="6"/>
      <c r="Y227" s="6"/>
      <c r="Z227" s="6"/>
      <c r="AA227" s="6"/>
      <c r="AB227" s="6">
        <v>45428.7600347222</v>
      </c>
      <c r="AC227" s="6" t="s">
        <v>269</v>
      </c>
    </row>
    <row r="228" s="1" customFormat="1" ht="17.25" customHeight="1" spans="1:29">
      <c r="A228" s="5" t="s">
        <v>1341</v>
      </c>
      <c r="B228" s="5" t="s">
        <v>389</v>
      </c>
      <c r="C228" s="5" t="s">
        <v>259</v>
      </c>
      <c r="D228" s="5" t="s">
        <v>27</v>
      </c>
      <c r="E228" s="5"/>
      <c r="F228" s="5" t="s">
        <v>389</v>
      </c>
      <c r="G228" s="5" t="s">
        <v>261</v>
      </c>
      <c r="H228" s="5" t="s">
        <v>1342</v>
      </c>
      <c r="I228" s="5" t="s">
        <v>1341</v>
      </c>
      <c r="J228" s="5" t="s">
        <v>422</v>
      </c>
      <c r="K228" s="5" t="s">
        <v>423</v>
      </c>
      <c r="L228" s="5" t="s">
        <v>480</v>
      </c>
      <c r="M228" s="5"/>
      <c r="N228" s="5" t="s">
        <v>1343</v>
      </c>
      <c r="O228" s="5"/>
      <c r="P228" s="5"/>
      <c r="Q228" s="5" t="s">
        <v>482</v>
      </c>
      <c r="R228" s="5"/>
      <c r="S228" s="5"/>
      <c r="T228" s="5"/>
      <c r="U228" s="5" t="s">
        <v>268</v>
      </c>
      <c r="V228" s="5" t="s">
        <v>269</v>
      </c>
      <c r="W228" s="9">
        <v>45428.7600347222</v>
      </c>
      <c r="X228" s="5"/>
      <c r="Y228" s="5"/>
      <c r="Z228" s="5"/>
      <c r="AA228" s="5"/>
      <c r="AB228" s="5">
        <v>45428.7600347222</v>
      </c>
      <c r="AC228" s="5" t="s">
        <v>269</v>
      </c>
    </row>
    <row r="229" s="1" customFormat="1" ht="17.25" customHeight="1" spans="1:29">
      <c r="A229" s="6" t="s">
        <v>1344</v>
      </c>
      <c r="B229" s="6" t="s">
        <v>389</v>
      </c>
      <c r="C229" s="6" t="s">
        <v>259</v>
      </c>
      <c r="D229" s="6" t="s">
        <v>27</v>
      </c>
      <c r="E229" s="6"/>
      <c r="F229" s="6" t="s">
        <v>389</v>
      </c>
      <c r="G229" s="6" t="s">
        <v>261</v>
      </c>
      <c r="H229" s="6" t="s">
        <v>1345</v>
      </c>
      <c r="I229" s="6" t="s">
        <v>1344</v>
      </c>
      <c r="J229" s="6" t="s">
        <v>1346</v>
      </c>
      <c r="K229" s="6" t="s">
        <v>1347</v>
      </c>
      <c r="L229" s="6" t="s">
        <v>1348</v>
      </c>
      <c r="M229" s="6"/>
      <c r="N229" s="6" t="s">
        <v>1349</v>
      </c>
      <c r="O229" s="6"/>
      <c r="P229" s="6"/>
      <c r="Q229" s="6" t="s">
        <v>1350</v>
      </c>
      <c r="R229" s="6"/>
      <c r="S229" s="6"/>
      <c r="T229" s="6"/>
      <c r="U229" s="6" t="s">
        <v>268</v>
      </c>
      <c r="V229" s="6" t="s">
        <v>269</v>
      </c>
      <c r="W229" s="10">
        <v>45428.7600347222</v>
      </c>
      <c r="X229" s="6"/>
      <c r="Y229" s="6"/>
      <c r="Z229" s="6"/>
      <c r="AA229" s="6"/>
      <c r="AB229" s="6">
        <v>45428.7600347222</v>
      </c>
      <c r="AC229" s="6" t="s">
        <v>269</v>
      </c>
    </row>
    <row r="230" s="1" customFormat="1" ht="17.25" customHeight="1" spans="1:29">
      <c r="A230" s="5" t="s">
        <v>1351</v>
      </c>
      <c r="B230" s="5" t="s">
        <v>389</v>
      </c>
      <c r="C230" s="5" t="s">
        <v>259</v>
      </c>
      <c r="D230" s="5" t="s">
        <v>27</v>
      </c>
      <c r="E230" s="5"/>
      <c r="F230" s="5" t="s">
        <v>389</v>
      </c>
      <c r="G230" s="5" t="s">
        <v>261</v>
      </c>
      <c r="H230" s="5" t="s">
        <v>1352</v>
      </c>
      <c r="I230" s="5" t="s">
        <v>1351</v>
      </c>
      <c r="J230" s="5" t="s">
        <v>1346</v>
      </c>
      <c r="K230" s="5" t="s">
        <v>1347</v>
      </c>
      <c r="L230" s="5" t="s">
        <v>1348</v>
      </c>
      <c r="M230" s="5"/>
      <c r="N230" s="5" t="s">
        <v>1353</v>
      </c>
      <c r="O230" s="5"/>
      <c r="P230" s="5"/>
      <c r="Q230" s="5" t="s">
        <v>1350</v>
      </c>
      <c r="R230" s="5"/>
      <c r="S230" s="5"/>
      <c r="T230" s="5"/>
      <c r="U230" s="5" t="s">
        <v>268</v>
      </c>
      <c r="V230" s="5" t="s">
        <v>269</v>
      </c>
      <c r="W230" s="9">
        <v>45428.7600347222</v>
      </c>
      <c r="X230" s="5"/>
      <c r="Y230" s="5"/>
      <c r="Z230" s="5"/>
      <c r="AA230" s="5"/>
      <c r="AB230" s="5">
        <v>45428.7600347222</v>
      </c>
      <c r="AC230" s="5" t="s">
        <v>269</v>
      </c>
    </row>
    <row r="231" s="1" customFormat="1" ht="17.25" customHeight="1" spans="1:29">
      <c r="A231" s="6" t="s">
        <v>1354</v>
      </c>
      <c r="B231" s="6" t="s">
        <v>389</v>
      </c>
      <c r="C231" s="6" t="s">
        <v>259</v>
      </c>
      <c r="D231" s="6" t="s">
        <v>27</v>
      </c>
      <c r="E231" s="6"/>
      <c r="F231" s="6" t="s">
        <v>389</v>
      </c>
      <c r="G231" s="6" t="s">
        <v>261</v>
      </c>
      <c r="H231" s="6" t="s">
        <v>1355</v>
      </c>
      <c r="I231" s="6" t="s">
        <v>1354</v>
      </c>
      <c r="J231" s="6" t="s">
        <v>1346</v>
      </c>
      <c r="K231" s="6" t="s">
        <v>1347</v>
      </c>
      <c r="L231" s="6" t="s">
        <v>1356</v>
      </c>
      <c r="M231" s="6"/>
      <c r="N231" s="6" t="s">
        <v>1357</v>
      </c>
      <c r="O231" s="6"/>
      <c r="P231" s="6"/>
      <c r="Q231" s="6" t="s">
        <v>1358</v>
      </c>
      <c r="R231" s="6"/>
      <c r="S231" s="6"/>
      <c r="T231" s="6"/>
      <c r="U231" s="6" t="s">
        <v>268</v>
      </c>
      <c r="V231" s="6" t="s">
        <v>269</v>
      </c>
      <c r="W231" s="10">
        <v>45428.7600347222</v>
      </c>
      <c r="X231" s="6"/>
      <c r="Y231" s="6"/>
      <c r="Z231" s="6"/>
      <c r="AA231" s="6"/>
      <c r="AB231" s="6">
        <v>45428.7600347222</v>
      </c>
      <c r="AC231" s="6" t="s">
        <v>269</v>
      </c>
    </row>
    <row r="232" s="1" customFormat="1" ht="17.25" customHeight="1" spans="1:29">
      <c r="A232" s="5" t="s">
        <v>1359</v>
      </c>
      <c r="B232" s="5" t="s">
        <v>389</v>
      </c>
      <c r="C232" s="5" t="s">
        <v>259</v>
      </c>
      <c r="D232" s="5" t="s">
        <v>27</v>
      </c>
      <c r="E232" s="5"/>
      <c r="F232" s="5" t="s">
        <v>389</v>
      </c>
      <c r="G232" s="5" t="s">
        <v>261</v>
      </c>
      <c r="H232" s="5" t="s">
        <v>1360</v>
      </c>
      <c r="I232" s="5" t="s">
        <v>1359</v>
      </c>
      <c r="J232" s="5" t="s">
        <v>1346</v>
      </c>
      <c r="K232" s="5" t="s">
        <v>1347</v>
      </c>
      <c r="L232" s="5" t="s">
        <v>1361</v>
      </c>
      <c r="M232" s="5"/>
      <c r="N232" s="5" t="s">
        <v>1362</v>
      </c>
      <c r="O232" s="5"/>
      <c r="P232" s="5"/>
      <c r="Q232" s="5" t="s">
        <v>1363</v>
      </c>
      <c r="R232" s="5"/>
      <c r="S232" s="5"/>
      <c r="T232" s="5"/>
      <c r="U232" s="5" t="s">
        <v>268</v>
      </c>
      <c r="V232" s="5" t="s">
        <v>269</v>
      </c>
      <c r="W232" s="9">
        <v>45428.7600347222</v>
      </c>
      <c r="X232" s="5"/>
      <c r="Y232" s="5"/>
      <c r="Z232" s="5"/>
      <c r="AA232" s="5"/>
      <c r="AB232" s="5">
        <v>45428.7600347222</v>
      </c>
      <c r="AC232" s="5" t="s">
        <v>269</v>
      </c>
    </row>
    <row r="233" s="1" customFormat="1" ht="17.25" customHeight="1" spans="1:29">
      <c r="A233" s="6" t="s">
        <v>1364</v>
      </c>
      <c r="B233" s="6" t="s">
        <v>389</v>
      </c>
      <c r="C233" s="6" t="s">
        <v>259</v>
      </c>
      <c r="D233" s="6" t="s">
        <v>27</v>
      </c>
      <c r="E233" s="6"/>
      <c r="F233" s="6" t="s">
        <v>389</v>
      </c>
      <c r="G233" s="6" t="s">
        <v>261</v>
      </c>
      <c r="H233" s="6" t="s">
        <v>1365</v>
      </c>
      <c r="I233" s="6" t="s">
        <v>1364</v>
      </c>
      <c r="J233" s="6" t="s">
        <v>1366</v>
      </c>
      <c r="K233" s="6" t="s">
        <v>1367</v>
      </c>
      <c r="L233" s="6" t="s">
        <v>1368</v>
      </c>
      <c r="M233" s="6"/>
      <c r="N233" s="6" t="s">
        <v>1369</v>
      </c>
      <c r="O233" s="6"/>
      <c r="P233" s="6"/>
      <c r="Q233" s="6" t="s">
        <v>1370</v>
      </c>
      <c r="R233" s="6"/>
      <c r="S233" s="6"/>
      <c r="T233" s="6"/>
      <c r="U233" s="6" t="s">
        <v>268</v>
      </c>
      <c r="V233" s="6" t="s">
        <v>269</v>
      </c>
      <c r="W233" s="10">
        <v>45428.7600347222</v>
      </c>
      <c r="X233" s="6"/>
      <c r="Y233" s="6"/>
      <c r="Z233" s="6"/>
      <c r="AA233" s="6"/>
      <c r="AB233" s="6">
        <v>45428.7600347222</v>
      </c>
      <c r="AC233" s="6" t="s">
        <v>269</v>
      </c>
    </row>
    <row r="234" s="1" customFormat="1" ht="17.25" customHeight="1" spans="1:29">
      <c r="A234" s="5" t="s">
        <v>1371</v>
      </c>
      <c r="B234" s="5" t="s">
        <v>389</v>
      </c>
      <c r="C234" s="5" t="s">
        <v>259</v>
      </c>
      <c r="D234" s="5" t="s">
        <v>27</v>
      </c>
      <c r="E234" s="5"/>
      <c r="F234" s="5" t="s">
        <v>389</v>
      </c>
      <c r="G234" s="5" t="s">
        <v>261</v>
      </c>
      <c r="H234" s="5" t="s">
        <v>1372</v>
      </c>
      <c r="I234" s="5" t="s">
        <v>1371</v>
      </c>
      <c r="J234" s="5" t="s">
        <v>637</v>
      </c>
      <c r="K234" s="5" t="s">
        <v>638</v>
      </c>
      <c r="L234" s="5" t="s">
        <v>1373</v>
      </c>
      <c r="M234" s="5"/>
      <c r="N234" s="5" t="s">
        <v>1374</v>
      </c>
      <c r="O234" s="5"/>
      <c r="P234" s="5"/>
      <c r="Q234" s="5" t="s">
        <v>1375</v>
      </c>
      <c r="R234" s="5"/>
      <c r="S234" s="5"/>
      <c r="T234" s="5"/>
      <c r="U234" s="5" t="s">
        <v>268</v>
      </c>
      <c r="V234" s="5" t="s">
        <v>269</v>
      </c>
      <c r="W234" s="9">
        <v>45428.7600347222</v>
      </c>
      <c r="X234" s="5"/>
      <c r="Y234" s="5"/>
      <c r="Z234" s="5"/>
      <c r="AA234" s="5"/>
      <c r="AB234" s="5">
        <v>45428.7600347222</v>
      </c>
      <c r="AC234" s="5" t="s">
        <v>269</v>
      </c>
    </row>
    <row r="235" s="1" customFormat="1" ht="17.25" customHeight="1" spans="1:29">
      <c r="A235" s="6" t="s">
        <v>1376</v>
      </c>
      <c r="B235" s="6" t="s">
        <v>389</v>
      </c>
      <c r="C235" s="6" t="s">
        <v>259</v>
      </c>
      <c r="D235" s="6" t="s">
        <v>27</v>
      </c>
      <c r="E235" s="6"/>
      <c r="F235" s="6" t="s">
        <v>389</v>
      </c>
      <c r="G235" s="6" t="s">
        <v>261</v>
      </c>
      <c r="H235" s="6" t="s">
        <v>1377</v>
      </c>
      <c r="I235" s="6" t="s">
        <v>1376</v>
      </c>
      <c r="J235" s="6" t="s">
        <v>637</v>
      </c>
      <c r="K235" s="6" t="s">
        <v>638</v>
      </c>
      <c r="L235" s="6" t="s">
        <v>1378</v>
      </c>
      <c r="M235" s="6"/>
      <c r="N235" s="6" t="s">
        <v>1379</v>
      </c>
      <c r="O235" s="6"/>
      <c r="P235" s="6"/>
      <c r="Q235" s="6" t="s">
        <v>1375</v>
      </c>
      <c r="R235" s="6"/>
      <c r="S235" s="6"/>
      <c r="T235" s="6"/>
      <c r="U235" s="6" t="s">
        <v>268</v>
      </c>
      <c r="V235" s="6" t="s">
        <v>269</v>
      </c>
      <c r="W235" s="10">
        <v>45428.7600347222</v>
      </c>
      <c r="X235" s="6"/>
      <c r="Y235" s="6"/>
      <c r="Z235" s="6"/>
      <c r="AA235" s="6"/>
      <c r="AB235" s="6">
        <v>45428.7600347222</v>
      </c>
      <c r="AC235" s="6" t="s">
        <v>269</v>
      </c>
    </row>
    <row r="236" s="1" customFormat="1" ht="17.25" customHeight="1" spans="1:29">
      <c r="A236" s="5" t="s">
        <v>1380</v>
      </c>
      <c r="B236" s="5" t="s">
        <v>389</v>
      </c>
      <c r="C236" s="5" t="s">
        <v>259</v>
      </c>
      <c r="D236" s="5" t="s">
        <v>27</v>
      </c>
      <c r="E236" s="5"/>
      <c r="F236" s="5" t="s">
        <v>389</v>
      </c>
      <c r="G236" s="5" t="s">
        <v>261</v>
      </c>
      <c r="H236" s="5" t="s">
        <v>1381</v>
      </c>
      <c r="I236" s="5" t="s">
        <v>1380</v>
      </c>
      <c r="J236" s="5" t="s">
        <v>364</v>
      </c>
      <c r="K236" s="5" t="s">
        <v>365</v>
      </c>
      <c r="L236" s="5" t="s">
        <v>1382</v>
      </c>
      <c r="M236" s="5"/>
      <c r="N236" s="5" t="s">
        <v>1383</v>
      </c>
      <c r="O236" s="5"/>
      <c r="P236" s="5"/>
      <c r="Q236" s="5" t="s">
        <v>1384</v>
      </c>
      <c r="R236" s="5"/>
      <c r="S236" s="5"/>
      <c r="T236" s="5"/>
      <c r="U236" s="5" t="s">
        <v>268</v>
      </c>
      <c r="V236" s="5" t="s">
        <v>269</v>
      </c>
      <c r="W236" s="9">
        <v>45428.7600347222</v>
      </c>
      <c r="X236" s="5"/>
      <c r="Y236" s="5"/>
      <c r="Z236" s="5"/>
      <c r="AA236" s="5"/>
      <c r="AB236" s="5">
        <v>45428.7600347222</v>
      </c>
      <c r="AC236" s="5" t="s">
        <v>269</v>
      </c>
    </row>
    <row r="237" s="1" customFormat="1" ht="17.25" customHeight="1" spans="1:29">
      <c r="A237" s="6" t="s">
        <v>1385</v>
      </c>
      <c r="B237" s="6" t="s">
        <v>389</v>
      </c>
      <c r="C237" s="6" t="s">
        <v>259</v>
      </c>
      <c r="D237" s="6" t="s">
        <v>27</v>
      </c>
      <c r="E237" s="6"/>
      <c r="F237" s="6" t="s">
        <v>389</v>
      </c>
      <c r="G237" s="6" t="s">
        <v>261</v>
      </c>
      <c r="H237" s="6" t="s">
        <v>1386</v>
      </c>
      <c r="I237" s="6" t="s">
        <v>1385</v>
      </c>
      <c r="J237" s="6" t="s">
        <v>364</v>
      </c>
      <c r="K237" s="6" t="s">
        <v>365</v>
      </c>
      <c r="L237" s="6" t="s">
        <v>1387</v>
      </c>
      <c r="M237" s="6"/>
      <c r="N237" s="6" t="s">
        <v>1388</v>
      </c>
      <c r="O237" s="6"/>
      <c r="P237" s="6"/>
      <c r="Q237" s="6" t="s">
        <v>1389</v>
      </c>
      <c r="R237" s="6"/>
      <c r="S237" s="6"/>
      <c r="T237" s="6"/>
      <c r="U237" s="6" t="s">
        <v>268</v>
      </c>
      <c r="V237" s="6" t="s">
        <v>269</v>
      </c>
      <c r="W237" s="10">
        <v>45428.7600347222</v>
      </c>
      <c r="X237" s="6"/>
      <c r="Y237" s="6"/>
      <c r="Z237" s="6"/>
      <c r="AA237" s="6"/>
      <c r="AB237" s="6">
        <v>45428.7600347222</v>
      </c>
      <c r="AC237" s="6" t="s">
        <v>269</v>
      </c>
    </row>
    <row r="238" s="1" customFormat="1" ht="17.25" customHeight="1" spans="1:29">
      <c r="A238" s="5" t="s">
        <v>1390</v>
      </c>
      <c r="B238" s="5" t="s">
        <v>389</v>
      </c>
      <c r="C238" s="5" t="s">
        <v>259</v>
      </c>
      <c r="D238" s="5" t="s">
        <v>27</v>
      </c>
      <c r="E238" s="5"/>
      <c r="F238" s="5" t="s">
        <v>389</v>
      </c>
      <c r="G238" s="5" t="s">
        <v>261</v>
      </c>
      <c r="H238" s="5" t="s">
        <v>1391</v>
      </c>
      <c r="I238" s="5" t="s">
        <v>1390</v>
      </c>
      <c r="J238" s="5" t="s">
        <v>364</v>
      </c>
      <c r="K238" s="5" t="s">
        <v>365</v>
      </c>
      <c r="L238" s="5" t="s">
        <v>1392</v>
      </c>
      <c r="M238" s="5"/>
      <c r="N238" s="5" t="s">
        <v>1393</v>
      </c>
      <c r="O238" s="5"/>
      <c r="P238" s="5"/>
      <c r="Q238" s="5" t="s">
        <v>1394</v>
      </c>
      <c r="R238" s="5"/>
      <c r="S238" s="5"/>
      <c r="T238" s="5"/>
      <c r="U238" s="5" t="s">
        <v>268</v>
      </c>
      <c r="V238" s="5" t="s">
        <v>269</v>
      </c>
      <c r="W238" s="9">
        <v>45428.7600347222</v>
      </c>
      <c r="X238" s="5"/>
      <c r="Y238" s="5"/>
      <c r="Z238" s="5"/>
      <c r="AA238" s="5"/>
      <c r="AB238" s="5">
        <v>45428.7600347222</v>
      </c>
      <c r="AC238" s="5" t="s">
        <v>269</v>
      </c>
    </row>
    <row r="239" s="1" customFormat="1" ht="17.25" customHeight="1" spans="1:29">
      <c r="A239" s="6" t="s">
        <v>1395</v>
      </c>
      <c r="B239" s="6" t="s">
        <v>389</v>
      </c>
      <c r="C239" s="6" t="s">
        <v>259</v>
      </c>
      <c r="D239" s="6" t="s">
        <v>27</v>
      </c>
      <c r="E239" s="6"/>
      <c r="F239" s="6" t="s">
        <v>389</v>
      </c>
      <c r="G239" s="6" t="s">
        <v>261</v>
      </c>
      <c r="H239" s="6" t="s">
        <v>1396</v>
      </c>
      <c r="I239" s="6" t="s">
        <v>1395</v>
      </c>
      <c r="J239" s="6" t="s">
        <v>364</v>
      </c>
      <c r="K239" s="6" t="s">
        <v>365</v>
      </c>
      <c r="L239" s="6" t="s">
        <v>1392</v>
      </c>
      <c r="M239" s="6"/>
      <c r="N239" s="6" t="s">
        <v>1397</v>
      </c>
      <c r="O239" s="6"/>
      <c r="P239" s="6"/>
      <c r="Q239" s="6" t="s">
        <v>1394</v>
      </c>
      <c r="R239" s="6"/>
      <c r="S239" s="6"/>
      <c r="T239" s="6"/>
      <c r="U239" s="6" t="s">
        <v>268</v>
      </c>
      <c r="V239" s="6" t="s">
        <v>269</v>
      </c>
      <c r="W239" s="10">
        <v>45428.7600347222</v>
      </c>
      <c r="X239" s="6"/>
      <c r="Y239" s="6"/>
      <c r="Z239" s="6"/>
      <c r="AA239" s="6"/>
      <c r="AB239" s="6">
        <v>45428.7600347222</v>
      </c>
      <c r="AC239" s="6" t="s">
        <v>269</v>
      </c>
    </row>
    <row r="240" s="1" customFormat="1" ht="17.25" customHeight="1" spans="1:29">
      <c r="A240" s="5" t="s">
        <v>1398</v>
      </c>
      <c r="B240" s="5" t="s">
        <v>389</v>
      </c>
      <c r="C240" s="5" t="s">
        <v>259</v>
      </c>
      <c r="D240" s="5" t="s">
        <v>27</v>
      </c>
      <c r="E240" s="5"/>
      <c r="F240" s="5" t="s">
        <v>389</v>
      </c>
      <c r="G240" s="5" t="s">
        <v>261</v>
      </c>
      <c r="H240" s="5" t="s">
        <v>1399</v>
      </c>
      <c r="I240" s="5" t="s">
        <v>1398</v>
      </c>
      <c r="J240" s="5" t="s">
        <v>364</v>
      </c>
      <c r="K240" s="5" t="s">
        <v>365</v>
      </c>
      <c r="L240" s="5" t="s">
        <v>1400</v>
      </c>
      <c r="M240" s="5"/>
      <c r="N240" s="5" t="s">
        <v>1401</v>
      </c>
      <c r="O240" s="5"/>
      <c r="P240" s="5"/>
      <c r="Q240" s="5" t="s">
        <v>1402</v>
      </c>
      <c r="R240" s="5"/>
      <c r="S240" s="5"/>
      <c r="T240" s="5"/>
      <c r="U240" s="5" t="s">
        <v>268</v>
      </c>
      <c r="V240" s="5" t="s">
        <v>269</v>
      </c>
      <c r="W240" s="9">
        <v>45428.7600347222</v>
      </c>
      <c r="X240" s="5"/>
      <c r="Y240" s="5"/>
      <c r="Z240" s="5"/>
      <c r="AA240" s="5"/>
      <c r="AB240" s="5">
        <v>45428.7600347222</v>
      </c>
      <c r="AC240" s="5" t="s">
        <v>269</v>
      </c>
    </row>
    <row r="241" s="1" customFormat="1" ht="17.25" customHeight="1" spans="1:29">
      <c r="A241" s="6" t="s">
        <v>1403</v>
      </c>
      <c r="B241" s="6" t="s">
        <v>389</v>
      </c>
      <c r="C241" s="6" t="s">
        <v>259</v>
      </c>
      <c r="D241" s="6" t="s">
        <v>27</v>
      </c>
      <c r="E241" s="6"/>
      <c r="F241" s="6" t="s">
        <v>389</v>
      </c>
      <c r="G241" s="6" t="s">
        <v>261</v>
      </c>
      <c r="H241" s="6" t="s">
        <v>1404</v>
      </c>
      <c r="I241" s="6" t="s">
        <v>1403</v>
      </c>
      <c r="J241" s="6" t="s">
        <v>1405</v>
      </c>
      <c r="K241" s="6" t="s">
        <v>1406</v>
      </c>
      <c r="L241" s="6" t="s">
        <v>1407</v>
      </c>
      <c r="M241" s="6"/>
      <c r="N241" s="6" t="s">
        <v>1408</v>
      </c>
      <c r="O241" s="6"/>
      <c r="P241" s="6"/>
      <c r="Q241" s="6" t="s">
        <v>1409</v>
      </c>
      <c r="R241" s="6"/>
      <c r="S241" s="6"/>
      <c r="T241" s="6"/>
      <c r="U241" s="6" t="s">
        <v>268</v>
      </c>
      <c r="V241" s="6" t="s">
        <v>269</v>
      </c>
      <c r="W241" s="10">
        <v>45428.7600347222</v>
      </c>
      <c r="X241" s="6"/>
      <c r="Y241" s="6"/>
      <c r="Z241" s="6"/>
      <c r="AA241" s="6"/>
      <c r="AB241" s="6">
        <v>45428.7600347222</v>
      </c>
      <c r="AC241" s="6" t="s">
        <v>269</v>
      </c>
    </row>
    <row r="242" s="1" customFormat="1" ht="17.25" customHeight="1" spans="1:29">
      <c r="A242" s="5" t="s">
        <v>1410</v>
      </c>
      <c r="B242" s="5" t="s">
        <v>389</v>
      </c>
      <c r="C242" s="5" t="s">
        <v>259</v>
      </c>
      <c r="D242" s="5" t="s">
        <v>27</v>
      </c>
      <c r="E242" s="5"/>
      <c r="F242" s="5" t="s">
        <v>389</v>
      </c>
      <c r="G242" s="5" t="s">
        <v>261</v>
      </c>
      <c r="H242" s="5" t="s">
        <v>1411</v>
      </c>
      <c r="I242" s="5" t="s">
        <v>1410</v>
      </c>
      <c r="J242" s="5" t="s">
        <v>338</v>
      </c>
      <c r="K242" s="5" t="s">
        <v>339</v>
      </c>
      <c r="L242" s="5" t="s">
        <v>390</v>
      </c>
      <c r="M242" s="5"/>
      <c r="N242" s="5" t="s">
        <v>1412</v>
      </c>
      <c r="O242" s="5"/>
      <c r="P242" s="5"/>
      <c r="Q242" s="5" t="s">
        <v>1413</v>
      </c>
      <c r="R242" s="5"/>
      <c r="S242" s="5"/>
      <c r="T242" s="5"/>
      <c r="U242" s="5" t="s">
        <v>268</v>
      </c>
      <c r="V242" s="5" t="s">
        <v>269</v>
      </c>
      <c r="W242" s="9">
        <v>45428.7600347222</v>
      </c>
      <c r="X242" s="5"/>
      <c r="Y242" s="5"/>
      <c r="Z242" s="5"/>
      <c r="AA242" s="5"/>
      <c r="AB242" s="5">
        <v>45428.7600347222</v>
      </c>
      <c r="AC242" s="5" t="s">
        <v>269</v>
      </c>
    </row>
    <row r="243" s="1" customFormat="1" ht="17.25" customHeight="1" spans="1:29">
      <c r="A243" s="6" t="s">
        <v>1414</v>
      </c>
      <c r="B243" s="6" t="s">
        <v>389</v>
      </c>
      <c r="C243" s="6" t="s">
        <v>259</v>
      </c>
      <c r="D243" s="6" t="s">
        <v>27</v>
      </c>
      <c r="E243" s="6"/>
      <c r="F243" s="6" t="s">
        <v>389</v>
      </c>
      <c r="G243" s="6" t="s">
        <v>261</v>
      </c>
      <c r="H243" s="6" t="s">
        <v>1415</v>
      </c>
      <c r="I243" s="6" t="s">
        <v>1414</v>
      </c>
      <c r="J243" s="6" t="s">
        <v>338</v>
      </c>
      <c r="K243" s="6" t="s">
        <v>339</v>
      </c>
      <c r="L243" s="6" t="s">
        <v>1416</v>
      </c>
      <c r="M243" s="6"/>
      <c r="N243" s="6" t="s">
        <v>1417</v>
      </c>
      <c r="O243" s="6"/>
      <c r="P243" s="6"/>
      <c r="Q243" s="6" t="s">
        <v>1418</v>
      </c>
      <c r="R243" s="6"/>
      <c r="S243" s="6"/>
      <c r="T243" s="6"/>
      <c r="U243" s="6" t="s">
        <v>268</v>
      </c>
      <c r="V243" s="6" t="s">
        <v>269</v>
      </c>
      <c r="W243" s="10">
        <v>45428.7600347222</v>
      </c>
      <c r="X243" s="6"/>
      <c r="Y243" s="6"/>
      <c r="Z243" s="6"/>
      <c r="AA243" s="6"/>
      <c r="AB243" s="6">
        <v>45428.7600347222</v>
      </c>
      <c r="AC243" s="6" t="s">
        <v>269</v>
      </c>
    </row>
    <row r="244" s="1" customFormat="1" ht="17.25" customHeight="1" spans="1:29">
      <c r="A244" s="5" t="s">
        <v>1419</v>
      </c>
      <c r="B244" s="5" t="s">
        <v>389</v>
      </c>
      <c r="C244" s="5" t="s">
        <v>259</v>
      </c>
      <c r="D244" s="5" t="s">
        <v>27</v>
      </c>
      <c r="E244" s="5"/>
      <c r="F244" s="5" t="s">
        <v>389</v>
      </c>
      <c r="G244" s="5" t="s">
        <v>261</v>
      </c>
      <c r="H244" s="5" t="s">
        <v>1420</v>
      </c>
      <c r="I244" s="5" t="s">
        <v>1419</v>
      </c>
      <c r="J244" s="5" t="s">
        <v>324</v>
      </c>
      <c r="K244" s="5" t="s">
        <v>325</v>
      </c>
      <c r="L244" s="5" t="s">
        <v>1421</v>
      </c>
      <c r="M244" s="5"/>
      <c r="N244" s="5" t="s">
        <v>1422</v>
      </c>
      <c r="O244" s="5"/>
      <c r="P244" s="5"/>
      <c r="Q244" s="5" t="s">
        <v>1423</v>
      </c>
      <c r="R244" s="5"/>
      <c r="S244" s="5"/>
      <c r="T244" s="5"/>
      <c r="U244" s="5" t="s">
        <v>268</v>
      </c>
      <c r="V244" s="5" t="s">
        <v>269</v>
      </c>
      <c r="W244" s="9">
        <v>45428.7600347222</v>
      </c>
      <c r="X244" s="5"/>
      <c r="Y244" s="5"/>
      <c r="Z244" s="5"/>
      <c r="AA244" s="5"/>
      <c r="AB244" s="5">
        <v>45428.7600347222</v>
      </c>
      <c r="AC244" s="5" t="s">
        <v>269</v>
      </c>
    </row>
    <row r="245" s="1" customFormat="1" ht="17.25" customHeight="1" spans="1:29">
      <c r="A245" s="6" t="s">
        <v>1424</v>
      </c>
      <c r="B245" s="6" t="s">
        <v>389</v>
      </c>
      <c r="C245" s="6" t="s">
        <v>259</v>
      </c>
      <c r="D245" s="6" t="s">
        <v>27</v>
      </c>
      <c r="E245" s="6"/>
      <c r="F245" s="6" t="s">
        <v>389</v>
      </c>
      <c r="G245" s="6" t="s">
        <v>261</v>
      </c>
      <c r="H245" s="6" t="s">
        <v>1425</v>
      </c>
      <c r="I245" s="6" t="s">
        <v>1424</v>
      </c>
      <c r="J245" s="6" t="s">
        <v>297</v>
      </c>
      <c r="K245" s="6" t="s">
        <v>298</v>
      </c>
      <c r="L245" s="6" t="s">
        <v>1426</v>
      </c>
      <c r="M245" s="6"/>
      <c r="N245" s="6" t="s">
        <v>1427</v>
      </c>
      <c r="O245" s="6"/>
      <c r="P245" s="6"/>
      <c r="Q245" s="6" t="s">
        <v>1428</v>
      </c>
      <c r="R245" s="6"/>
      <c r="S245" s="6"/>
      <c r="T245" s="6"/>
      <c r="U245" s="6" t="s">
        <v>268</v>
      </c>
      <c r="V245" s="6" t="s">
        <v>269</v>
      </c>
      <c r="W245" s="10">
        <v>45428.7600347222</v>
      </c>
      <c r="X245" s="6"/>
      <c r="Y245" s="6"/>
      <c r="Z245" s="6"/>
      <c r="AA245" s="6"/>
      <c r="AB245" s="6">
        <v>45428.7600347222</v>
      </c>
      <c r="AC245" s="6" t="s">
        <v>269</v>
      </c>
    </row>
    <row r="246" s="1" customFormat="1" ht="17.25" customHeight="1" spans="1:29">
      <c r="A246" s="5" t="s">
        <v>1429</v>
      </c>
      <c r="B246" s="5" t="s">
        <v>389</v>
      </c>
      <c r="C246" s="5" t="s">
        <v>259</v>
      </c>
      <c r="D246" s="5" t="s">
        <v>27</v>
      </c>
      <c r="E246" s="5"/>
      <c r="F246" s="5" t="s">
        <v>389</v>
      </c>
      <c r="G246" s="5" t="s">
        <v>261</v>
      </c>
      <c r="H246" s="5" t="s">
        <v>1430</v>
      </c>
      <c r="I246" s="5" t="s">
        <v>1429</v>
      </c>
      <c r="J246" s="5" t="s">
        <v>297</v>
      </c>
      <c r="K246" s="5" t="s">
        <v>298</v>
      </c>
      <c r="L246" s="5" t="s">
        <v>1426</v>
      </c>
      <c r="M246" s="5"/>
      <c r="N246" s="5" t="s">
        <v>1431</v>
      </c>
      <c r="O246" s="5"/>
      <c r="P246" s="5"/>
      <c r="Q246" s="5" t="s">
        <v>603</v>
      </c>
      <c r="R246" s="5"/>
      <c r="S246" s="5"/>
      <c r="T246" s="5"/>
      <c r="U246" s="5" t="s">
        <v>268</v>
      </c>
      <c r="V246" s="5" t="s">
        <v>269</v>
      </c>
      <c r="W246" s="9">
        <v>45428.7600347222</v>
      </c>
      <c r="X246" s="5"/>
      <c r="Y246" s="5"/>
      <c r="Z246" s="5"/>
      <c r="AA246" s="5"/>
      <c r="AB246" s="5">
        <v>45428.7600347222</v>
      </c>
      <c r="AC246" s="5" t="s">
        <v>269</v>
      </c>
    </row>
    <row r="247" s="1" customFormat="1" ht="17.25" customHeight="1" spans="1:29">
      <c r="A247" s="6" t="s">
        <v>1432</v>
      </c>
      <c r="B247" s="6" t="s">
        <v>389</v>
      </c>
      <c r="C247" s="6" t="s">
        <v>259</v>
      </c>
      <c r="D247" s="6" t="s">
        <v>27</v>
      </c>
      <c r="E247" s="6"/>
      <c r="F247" s="6" t="s">
        <v>389</v>
      </c>
      <c r="G247" s="6" t="s">
        <v>261</v>
      </c>
      <c r="H247" s="6" t="s">
        <v>1433</v>
      </c>
      <c r="I247" s="6" t="s">
        <v>1432</v>
      </c>
      <c r="J247" s="6" t="s">
        <v>297</v>
      </c>
      <c r="K247" s="6" t="s">
        <v>298</v>
      </c>
      <c r="L247" s="6" t="s">
        <v>1434</v>
      </c>
      <c r="M247" s="6"/>
      <c r="N247" s="6" t="s">
        <v>1435</v>
      </c>
      <c r="O247" s="6"/>
      <c r="P247" s="6"/>
      <c r="Q247" s="6" t="s">
        <v>1436</v>
      </c>
      <c r="R247" s="6"/>
      <c r="S247" s="6"/>
      <c r="T247" s="6"/>
      <c r="U247" s="6" t="s">
        <v>268</v>
      </c>
      <c r="V247" s="6" t="s">
        <v>269</v>
      </c>
      <c r="W247" s="10">
        <v>45428.7600347222</v>
      </c>
      <c r="X247" s="6"/>
      <c r="Y247" s="6"/>
      <c r="Z247" s="6"/>
      <c r="AA247" s="6"/>
      <c r="AB247" s="6">
        <v>45428.7600347222</v>
      </c>
      <c r="AC247" s="6" t="s">
        <v>269</v>
      </c>
    </row>
    <row r="248" s="1" customFormat="1" ht="17.25" customHeight="1" spans="1:29">
      <c r="A248" s="5" t="s">
        <v>1437</v>
      </c>
      <c r="B248" s="5" t="s">
        <v>389</v>
      </c>
      <c r="C248" s="5" t="s">
        <v>259</v>
      </c>
      <c r="D248" s="5" t="s">
        <v>27</v>
      </c>
      <c r="E248" s="5"/>
      <c r="F248" s="5" t="s">
        <v>389</v>
      </c>
      <c r="G248" s="5" t="s">
        <v>261</v>
      </c>
      <c r="H248" s="5" t="s">
        <v>1438</v>
      </c>
      <c r="I248" s="5" t="s">
        <v>1437</v>
      </c>
      <c r="J248" s="5" t="s">
        <v>297</v>
      </c>
      <c r="K248" s="5" t="s">
        <v>298</v>
      </c>
      <c r="L248" s="5" t="s">
        <v>1439</v>
      </c>
      <c r="M248" s="5"/>
      <c r="N248" s="5" t="s">
        <v>1440</v>
      </c>
      <c r="O248" s="5"/>
      <c r="P248" s="5"/>
      <c r="Q248" s="5" t="s">
        <v>1441</v>
      </c>
      <c r="R248" s="5"/>
      <c r="S248" s="5"/>
      <c r="T248" s="5"/>
      <c r="U248" s="5" t="s">
        <v>268</v>
      </c>
      <c r="V248" s="5" t="s">
        <v>269</v>
      </c>
      <c r="W248" s="9">
        <v>45428.7600347222</v>
      </c>
      <c r="X248" s="5"/>
      <c r="Y248" s="5"/>
      <c r="Z248" s="5"/>
      <c r="AA248" s="5"/>
      <c r="AB248" s="5">
        <v>45428.7600347222</v>
      </c>
      <c r="AC248" s="5" t="s">
        <v>269</v>
      </c>
    </row>
    <row r="249" s="1" customFormat="1" ht="17.25" customHeight="1" spans="1:29">
      <c r="A249" s="6" t="s">
        <v>1442</v>
      </c>
      <c r="B249" s="6" t="s">
        <v>389</v>
      </c>
      <c r="C249" s="6" t="s">
        <v>259</v>
      </c>
      <c r="D249" s="6" t="s">
        <v>27</v>
      </c>
      <c r="E249" s="6"/>
      <c r="F249" s="6" t="s">
        <v>389</v>
      </c>
      <c r="G249" s="6" t="s">
        <v>261</v>
      </c>
      <c r="H249" s="6" t="s">
        <v>1443</v>
      </c>
      <c r="I249" s="6" t="s">
        <v>1442</v>
      </c>
      <c r="J249" s="6" t="s">
        <v>297</v>
      </c>
      <c r="K249" s="6" t="s">
        <v>298</v>
      </c>
      <c r="L249" s="6" t="s">
        <v>1426</v>
      </c>
      <c r="M249" s="6"/>
      <c r="N249" s="6" t="s">
        <v>1444</v>
      </c>
      <c r="O249" s="6"/>
      <c r="P249" s="6"/>
      <c r="Q249" s="6" t="s">
        <v>603</v>
      </c>
      <c r="R249" s="6"/>
      <c r="S249" s="6"/>
      <c r="T249" s="6"/>
      <c r="U249" s="6" t="s">
        <v>268</v>
      </c>
      <c r="V249" s="6" t="s">
        <v>269</v>
      </c>
      <c r="W249" s="10">
        <v>45428.7600347222</v>
      </c>
      <c r="X249" s="6"/>
      <c r="Y249" s="6"/>
      <c r="Z249" s="6"/>
      <c r="AA249" s="6"/>
      <c r="AB249" s="6">
        <v>45428.7600347222</v>
      </c>
      <c r="AC249" s="6" t="s">
        <v>269</v>
      </c>
    </row>
    <row r="250" s="1" customFormat="1" ht="17.25" customHeight="1" spans="1:29">
      <c r="A250" s="5" t="s">
        <v>1445</v>
      </c>
      <c r="B250" s="5" t="s">
        <v>389</v>
      </c>
      <c r="C250" s="5" t="s">
        <v>259</v>
      </c>
      <c r="D250" s="5" t="s">
        <v>27</v>
      </c>
      <c r="E250" s="5"/>
      <c r="F250" s="5" t="s">
        <v>389</v>
      </c>
      <c r="G250" s="5" t="s">
        <v>261</v>
      </c>
      <c r="H250" s="5" t="s">
        <v>1446</v>
      </c>
      <c r="I250" s="5" t="s">
        <v>1445</v>
      </c>
      <c r="J250" s="5" t="s">
        <v>297</v>
      </c>
      <c r="K250" s="5" t="s">
        <v>298</v>
      </c>
      <c r="L250" s="5" t="s">
        <v>1447</v>
      </c>
      <c r="M250" s="5"/>
      <c r="N250" s="5" t="s">
        <v>1448</v>
      </c>
      <c r="O250" s="5"/>
      <c r="P250" s="5"/>
      <c r="Q250" s="5" t="s">
        <v>651</v>
      </c>
      <c r="R250" s="5"/>
      <c r="S250" s="5"/>
      <c r="T250" s="5"/>
      <c r="U250" s="5" t="s">
        <v>268</v>
      </c>
      <c r="V250" s="5" t="s">
        <v>269</v>
      </c>
      <c r="W250" s="9">
        <v>45428.7600347222</v>
      </c>
      <c r="X250" s="5"/>
      <c r="Y250" s="5"/>
      <c r="Z250" s="5"/>
      <c r="AA250" s="5"/>
      <c r="AB250" s="5">
        <v>45428.7600347222</v>
      </c>
      <c r="AC250" s="5" t="s">
        <v>269</v>
      </c>
    </row>
    <row r="251" s="1" customFormat="1" ht="17.25" customHeight="1" spans="1:29">
      <c r="A251" s="6" t="s">
        <v>1449</v>
      </c>
      <c r="B251" s="6" t="s">
        <v>389</v>
      </c>
      <c r="C251" s="6" t="s">
        <v>259</v>
      </c>
      <c r="D251" s="6" t="s">
        <v>27</v>
      </c>
      <c r="E251" s="6"/>
      <c r="F251" s="6" t="s">
        <v>389</v>
      </c>
      <c r="G251" s="6" t="s">
        <v>261</v>
      </c>
      <c r="H251" s="6" t="s">
        <v>1450</v>
      </c>
      <c r="I251" s="6" t="s">
        <v>1449</v>
      </c>
      <c r="J251" s="6" t="s">
        <v>304</v>
      </c>
      <c r="K251" s="6" t="s">
        <v>305</v>
      </c>
      <c r="L251" s="6" t="s">
        <v>1451</v>
      </c>
      <c r="M251" s="6"/>
      <c r="N251" s="6" t="s">
        <v>1452</v>
      </c>
      <c r="O251" s="6"/>
      <c r="P251" s="6"/>
      <c r="Q251" s="6" t="s">
        <v>1453</v>
      </c>
      <c r="R251" s="6"/>
      <c r="S251" s="6"/>
      <c r="T251" s="6"/>
      <c r="U251" s="6" t="s">
        <v>268</v>
      </c>
      <c r="V251" s="6" t="s">
        <v>269</v>
      </c>
      <c r="W251" s="10">
        <v>45428.7600347222</v>
      </c>
      <c r="X251" s="6"/>
      <c r="Y251" s="6"/>
      <c r="Z251" s="6"/>
      <c r="AA251" s="6"/>
      <c r="AB251" s="6">
        <v>45428.7600347222</v>
      </c>
      <c r="AC251" s="6" t="s">
        <v>269</v>
      </c>
    </row>
    <row r="252" s="1" customFormat="1" ht="17.25" customHeight="1" spans="1:29">
      <c r="A252" s="5" t="s">
        <v>1454</v>
      </c>
      <c r="B252" s="5" t="s">
        <v>389</v>
      </c>
      <c r="C252" s="5" t="s">
        <v>259</v>
      </c>
      <c r="D252" s="5" t="s">
        <v>27</v>
      </c>
      <c r="E252" s="5"/>
      <c r="F252" s="5" t="s">
        <v>389</v>
      </c>
      <c r="G252" s="5" t="s">
        <v>261</v>
      </c>
      <c r="H252" s="5" t="s">
        <v>1455</v>
      </c>
      <c r="I252" s="5" t="s">
        <v>1454</v>
      </c>
      <c r="J252" s="5" t="s">
        <v>654</v>
      </c>
      <c r="K252" s="5" t="s">
        <v>655</v>
      </c>
      <c r="L252" s="5" t="s">
        <v>1456</v>
      </c>
      <c r="M252" s="5"/>
      <c r="N252" s="5" t="s">
        <v>1457</v>
      </c>
      <c r="O252" s="5"/>
      <c r="P252" s="5"/>
      <c r="Q252" s="5" t="s">
        <v>1458</v>
      </c>
      <c r="R252" s="5"/>
      <c r="S252" s="5"/>
      <c r="T252" s="5"/>
      <c r="U252" s="5" t="s">
        <v>268</v>
      </c>
      <c r="V252" s="5" t="s">
        <v>269</v>
      </c>
      <c r="W252" s="9">
        <v>45428.7600347222</v>
      </c>
      <c r="X252" s="5"/>
      <c r="Y252" s="5"/>
      <c r="Z252" s="5"/>
      <c r="AA252" s="5"/>
      <c r="AB252" s="5">
        <v>45428.7600347222</v>
      </c>
      <c r="AC252" s="5" t="s">
        <v>269</v>
      </c>
    </row>
    <row r="253" s="1" customFormat="1" ht="17.25" customHeight="1" spans="1:29">
      <c r="A253" s="6" t="s">
        <v>1459</v>
      </c>
      <c r="B253" s="6" t="s">
        <v>389</v>
      </c>
      <c r="C253" s="6" t="s">
        <v>259</v>
      </c>
      <c r="D253" s="6" t="s">
        <v>27</v>
      </c>
      <c r="E253" s="6"/>
      <c r="F253" s="6" t="s">
        <v>389</v>
      </c>
      <c r="G253" s="6" t="s">
        <v>261</v>
      </c>
      <c r="H253" s="6" t="s">
        <v>1460</v>
      </c>
      <c r="I253" s="6" t="s">
        <v>1459</v>
      </c>
      <c r="J253" s="6" t="s">
        <v>637</v>
      </c>
      <c r="K253" s="6" t="s">
        <v>638</v>
      </c>
      <c r="L253" s="6" t="s">
        <v>1461</v>
      </c>
      <c r="M253" s="6"/>
      <c r="N253" s="6" t="s">
        <v>1462</v>
      </c>
      <c r="O253" s="6"/>
      <c r="P253" s="6"/>
      <c r="Q253" s="6" t="s">
        <v>1463</v>
      </c>
      <c r="R253" s="6"/>
      <c r="S253" s="6"/>
      <c r="T253" s="6"/>
      <c r="U253" s="6" t="s">
        <v>268</v>
      </c>
      <c r="V253" s="6" t="s">
        <v>269</v>
      </c>
      <c r="W253" s="10">
        <v>45428.7600347222</v>
      </c>
      <c r="X253" s="6"/>
      <c r="Y253" s="6"/>
      <c r="Z253" s="6"/>
      <c r="AA253" s="6"/>
      <c r="AB253" s="6">
        <v>45428.7600347222</v>
      </c>
      <c r="AC253" s="6" t="s">
        <v>269</v>
      </c>
    </row>
    <row r="254" s="1" customFormat="1" ht="17.25" customHeight="1" spans="1:29">
      <c r="A254" s="5" t="s">
        <v>1464</v>
      </c>
      <c r="B254" s="5" t="s">
        <v>389</v>
      </c>
      <c r="C254" s="5" t="s">
        <v>259</v>
      </c>
      <c r="D254" s="5" t="s">
        <v>27</v>
      </c>
      <c r="E254" s="5"/>
      <c r="F254" s="5" t="s">
        <v>389</v>
      </c>
      <c r="G254" s="5" t="s">
        <v>261</v>
      </c>
      <c r="H254" s="5" t="s">
        <v>1465</v>
      </c>
      <c r="I254" s="5" t="s">
        <v>1464</v>
      </c>
      <c r="J254" s="5" t="s">
        <v>856</v>
      </c>
      <c r="K254" s="5" t="s">
        <v>857</v>
      </c>
      <c r="L254" s="5" t="s">
        <v>1466</v>
      </c>
      <c r="M254" s="5"/>
      <c r="N254" s="5" t="s">
        <v>1467</v>
      </c>
      <c r="O254" s="5"/>
      <c r="P254" s="5"/>
      <c r="Q254" s="5" t="s">
        <v>1468</v>
      </c>
      <c r="R254" s="5"/>
      <c r="S254" s="5"/>
      <c r="T254" s="5"/>
      <c r="U254" s="5" t="s">
        <v>268</v>
      </c>
      <c r="V254" s="5" t="s">
        <v>269</v>
      </c>
      <c r="W254" s="9">
        <v>45428.7600347222</v>
      </c>
      <c r="X254" s="5"/>
      <c r="Y254" s="5"/>
      <c r="Z254" s="5"/>
      <c r="AA254" s="5"/>
      <c r="AB254" s="5">
        <v>45428.7600347222</v>
      </c>
      <c r="AC254" s="5" t="s">
        <v>269</v>
      </c>
    </row>
    <row r="255" s="1" customFormat="1" ht="17.25" customHeight="1" spans="1:29">
      <c r="A255" s="6" t="s">
        <v>1469</v>
      </c>
      <c r="B255" s="6" t="s">
        <v>389</v>
      </c>
      <c r="C255" s="6" t="s">
        <v>259</v>
      </c>
      <c r="D255" s="6" t="s">
        <v>27</v>
      </c>
      <c r="E255" s="6"/>
      <c r="F255" s="6" t="s">
        <v>389</v>
      </c>
      <c r="G255" s="6" t="s">
        <v>261</v>
      </c>
      <c r="H255" s="6" t="s">
        <v>1470</v>
      </c>
      <c r="I255" s="6" t="s">
        <v>1469</v>
      </c>
      <c r="J255" s="6" t="s">
        <v>856</v>
      </c>
      <c r="K255" s="6" t="s">
        <v>857</v>
      </c>
      <c r="L255" s="6" t="s">
        <v>1466</v>
      </c>
      <c r="M255" s="6"/>
      <c r="N255" s="6" t="s">
        <v>1467</v>
      </c>
      <c r="O255" s="6"/>
      <c r="P255" s="6"/>
      <c r="Q255" s="6" t="s">
        <v>1468</v>
      </c>
      <c r="R255" s="6"/>
      <c r="S255" s="6"/>
      <c r="T255" s="6"/>
      <c r="U255" s="6" t="s">
        <v>268</v>
      </c>
      <c r="V255" s="6" t="s">
        <v>269</v>
      </c>
      <c r="W255" s="10">
        <v>45428.7600347222</v>
      </c>
      <c r="X255" s="6"/>
      <c r="Y255" s="6"/>
      <c r="Z255" s="6"/>
      <c r="AA255" s="6"/>
      <c r="AB255" s="6">
        <v>45428.7600347222</v>
      </c>
      <c r="AC255" s="6" t="s">
        <v>269</v>
      </c>
    </row>
    <row r="256" s="1" customFormat="1" ht="17.25" customHeight="1" spans="1:29">
      <c r="A256" s="5" t="s">
        <v>1471</v>
      </c>
      <c r="B256" s="5" t="s">
        <v>389</v>
      </c>
      <c r="C256" s="5" t="s">
        <v>259</v>
      </c>
      <c r="D256" s="5" t="s">
        <v>27</v>
      </c>
      <c r="E256" s="5"/>
      <c r="F256" s="5" t="s">
        <v>389</v>
      </c>
      <c r="G256" s="5" t="s">
        <v>261</v>
      </c>
      <c r="H256" s="5" t="s">
        <v>1472</v>
      </c>
      <c r="I256" s="5" t="s">
        <v>1471</v>
      </c>
      <c r="J256" s="5"/>
      <c r="K256" s="5"/>
      <c r="L256" s="5"/>
      <c r="M256" s="5"/>
      <c r="N256" s="5" t="s">
        <v>1473</v>
      </c>
      <c r="O256" s="5"/>
      <c r="P256" s="5"/>
      <c r="Q256" s="5" t="s">
        <v>1474</v>
      </c>
      <c r="R256" s="5"/>
      <c r="S256" s="5"/>
      <c r="T256" s="5"/>
      <c r="U256" s="5"/>
      <c r="V256" s="5" t="s">
        <v>836</v>
      </c>
      <c r="W256" s="9">
        <v>45441.7473263889</v>
      </c>
      <c r="X256" s="5"/>
      <c r="Y256" s="5"/>
      <c r="Z256" s="5"/>
      <c r="AA256" s="5"/>
      <c r="AB256" s="5">
        <v>45441.7473263889</v>
      </c>
      <c r="AC256" s="5" t="s">
        <v>836</v>
      </c>
    </row>
    <row r="257" s="1" customFormat="1" ht="17.25" customHeight="1" spans="1:29">
      <c r="A257" s="6" t="s">
        <v>1475</v>
      </c>
      <c r="B257" s="6" t="s">
        <v>389</v>
      </c>
      <c r="C257" s="6" t="s">
        <v>259</v>
      </c>
      <c r="D257" s="6" t="s">
        <v>27</v>
      </c>
      <c r="E257" s="6"/>
      <c r="F257" s="6" t="s">
        <v>389</v>
      </c>
      <c r="G257" s="6" t="s">
        <v>261</v>
      </c>
      <c r="H257" s="6" t="s">
        <v>1476</v>
      </c>
      <c r="I257" s="6" t="s">
        <v>1475</v>
      </c>
      <c r="J257" s="6" t="s">
        <v>378</v>
      </c>
      <c r="K257" s="6" t="s">
        <v>379</v>
      </c>
      <c r="L257" s="6" t="s">
        <v>1477</v>
      </c>
      <c r="M257" s="6"/>
      <c r="N257" s="6" t="s">
        <v>1478</v>
      </c>
      <c r="O257" s="6"/>
      <c r="P257" s="6"/>
      <c r="Q257" s="6" t="s">
        <v>1479</v>
      </c>
      <c r="R257" s="6"/>
      <c r="S257" s="6"/>
      <c r="T257" s="6"/>
      <c r="U257" s="6"/>
      <c r="V257" s="6" t="s">
        <v>270</v>
      </c>
      <c r="W257" s="10">
        <v>45503.7002777778</v>
      </c>
      <c r="X257" s="6"/>
      <c r="Y257" s="6"/>
      <c r="Z257" s="6"/>
      <c r="AA257" s="6"/>
      <c r="AB257" s="6">
        <v>45503.7002777778</v>
      </c>
      <c r="AC257" s="6" t="s">
        <v>270</v>
      </c>
    </row>
    <row r="258" s="1" customFormat="1" ht="17.25" customHeight="1" spans="1:29">
      <c r="A258" s="5" t="s">
        <v>1480</v>
      </c>
      <c r="B258" s="5" t="s">
        <v>389</v>
      </c>
      <c r="C258" s="5" t="s">
        <v>259</v>
      </c>
      <c r="D258" s="5" t="s">
        <v>27</v>
      </c>
      <c r="E258" s="5"/>
      <c r="F258" s="5" t="s">
        <v>389</v>
      </c>
      <c r="G258" s="5" t="s">
        <v>261</v>
      </c>
      <c r="H258" s="5" t="s">
        <v>1481</v>
      </c>
      <c r="I258" s="5" t="s">
        <v>1480</v>
      </c>
      <c r="J258" s="5" t="s">
        <v>856</v>
      </c>
      <c r="K258" s="5" t="s">
        <v>857</v>
      </c>
      <c r="L258" s="5" t="s">
        <v>1482</v>
      </c>
      <c r="M258" s="5"/>
      <c r="N258" s="5" t="s">
        <v>1483</v>
      </c>
      <c r="O258" s="5"/>
      <c r="P258" s="5"/>
      <c r="Q258" s="5" t="s">
        <v>1484</v>
      </c>
      <c r="R258" s="5"/>
      <c r="S258" s="5"/>
      <c r="T258" s="5"/>
      <c r="U258" s="5"/>
      <c r="V258" s="5" t="s">
        <v>270</v>
      </c>
      <c r="W258" s="9">
        <v>45586.682662037</v>
      </c>
      <c r="X258" s="5"/>
      <c r="Y258" s="5"/>
      <c r="Z258" s="5"/>
      <c r="AA258" s="5"/>
      <c r="AB258" s="5">
        <v>45586.682662037</v>
      </c>
      <c r="AC258" s="5" t="s">
        <v>270</v>
      </c>
    </row>
    <row r="259" s="1" customFormat="1" ht="17.25" customHeight="1" spans="1:29">
      <c r="A259" s="6" t="s">
        <v>1485</v>
      </c>
      <c r="B259" s="6" t="s">
        <v>1486</v>
      </c>
      <c r="C259" s="6" t="s">
        <v>259</v>
      </c>
      <c r="D259" s="6" t="s">
        <v>1487</v>
      </c>
      <c r="E259" s="6"/>
      <c r="F259" s="6" t="s">
        <v>1486</v>
      </c>
      <c r="G259" s="6" t="s">
        <v>261</v>
      </c>
      <c r="H259" s="6" t="s">
        <v>1488</v>
      </c>
      <c r="I259" s="6" t="s">
        <v>1485</v>
      </c>
      <c r="J259" s="6" t="s">
        <v>338</v>
      </c>
      <c r="K259" s="6" t="s">
        <v>339</v>
      </c>
      <c r="L259" s="6" t="s">
        <v>1489</v>
      </c>
      <c r="M259" s="6"/>
      <c r="N259" s="6" t="s">
        <v>1490</v>
      </c>
      <c r="O259" s="6"/>
      <c r="P259" s="6"/>
      <c r="Q259" s="6" t="s">
        <v>1491</v>
      </c>
      <c r="R259" s="6"/>
      <c r="S259" s="6"/>
      <c r="T259" s="6"/>
      <c r="U259" s="6"/>
      <c r="V259" s="6" t="s">
        <v>270</v>
      </c>
      <c r="W259" s="10">
        <v>45587.7071412037</v>
      </c>
      <c r="X259" s="6"/>
      <c r="Y259" s="6"/>
      <c r="Z259" s="6"/>
      <c r="AA259" s="6"/>
      <c r="AB259" s="6">
        <v>45587.7071412037</v>
      </c>
      <c r="AC259" s="6" t="s">
        <v>270</v>
      </c>
    </row>
    <row r="260" s="1" customFormat="1" ht="17.25" customHeight="1" spans="1:29">
      <c r="A260" s="5" t="s">
        <v>1492</v>
      </c>
      <c r="B260" s="5" t="s">
        <v>389</v>
      </c>
      <c r="C260" s="5" t="s">
        <v>259</v>
      </c>
      <c r="D260" s="5" t="s">
        <v>27</v>
      </c>
      <c r="E260" s="5"/>
      <c r="F260" s="5" t="s">
        <v>389</v>
      </c>
      <c r="G260" s="5" t="s">
        <v>261</v>
      </c>
      <c r="H260" s="5" t="s">
        <v>1493</v>
      </c>
      <c r="I260" s="5" t="s">
        <v>1492</v>
      </c>
      <c r="J260" s="5"/>
      <c r="K260" s="5"/>
      <c r="L260" s="5"/>
      <c r="M260" s="5"/>
      <c r="N260" s="5" t="s">
        <v>1494</v>
      </c>
      <c r="O260" s="5"/>
      <c r="P260" s="5"/>
      <c r="Q260" s="5" t="s">
        <v>906</v>
      </c>
      <c r="R260" s="5"/>
      <c r="S260" s="5"/>
      <c r="T260" s="5"/>
      <c r="U260" s="5"/>
      <c r="V260" s="5" t="s">
        <v>902</v>
      </c>
      <c r="W260" s="9">
        <v>45650.6913078704</v>
      </c>
      <c r="X260" s="5"/>
      <c r="Y260" s="5"/>
      <c r="Z260" s="5"/>
      <c r="AA260" s="5"/>
      <c r="AB260" s="5">
        <v>45622.4746759259</v>
      </c>
      <c r="AC260" s="5" t="s">
        <v>902</v>
      </c>
    </row>
    <row r="261" s="1" customFormat="1" ht="17.25" customHeight="1" spans="1:29">
      <c r="A261" s="6" t="s">
        <v>1495</v>
      </c>
      <c r="B261" s="6" t="s">
        <v>389</v>
      </c>
      <c r="C261" s="6" t="s">
        <v>259</v>
      </c>
      <c r="D261" s="6" t="s">
        <v>27</v>
      </c>
      <c r="E261" s="6"/>
      <c r="F261" s="6" t="s">
        <v>389</v>
      </c>
      <c r="G261" s="6" t="s">
        <v>261</v>
      </c>
      <c r="H261" s="6" t="s">
        <v>1496</v>
      </c>
      <c r="I261" s="6" t="s">
        <v>1495</v>
      </c>
      <c r="J261" s="6" t="s">
        <v>378</v>
      </c>
      <c r="K261" s="6" t="s">
        <v>379</v>
      </c>
      <c r="L261" s="6" t="s">
        <v>744</v>
      </c>
      <c r="M261" s="6"/>
      <c r="N261" s="6" t="s">
        <v>1497</v>
      </c>
      <c r="O261" s="6"/>
      <c r="P261" s="6"/>
      <c r="Q261" s="6" t="s">
        <v>746</v>
      </c>
      <c r="R261" s="6"/>
      <c r="S261" s="6"/>
      <c r="T261" s="6"/>
      <c r="U261" s="6" t="s">
        <v>268</v>
      </c>
      <c r="V261" s="6" t="s">
        <v>947</v>
      </c>
      <c r="W261" s="10">
        <v>45651.4465046296</v>
      </c>
      <c r="X261" s="6"/>
      <c r="Y261" s="6"/>
      <c r="Z261" s="6"/>
      <c r="AA261" s="6"/>
      <c r="AB261" s="6">
        <v>45651.4416550926</v>
      </c>
      <c r="AC261" s="6" t="s">
        <v>947</v>
      </c>
    </row>
    <row r="262" s="1" customFormat="1" ht="17.25" customHeight="1" spans="1:29">
      <c r="A262" s="5" t="s">
        <v>1498</v>
      </c>
      <c r="B262" s="5" t="s">
        <v>1499</v>
      </c>
      <c r="C262" s="5" t="s">
        <v>259</v>
      </c>
      <c r="D262" s="5" t="s">
        <v>27</v>
      </c>
      <c r="E262" s="5" t="s">
        <v>1082</v>
      </c>
      <c r="F262" s="5" t="s">
        <v>1083</v>
      </c>
      <c r="G262" s="5" t="s">
        <v>1083</v>
      </c>
      <c r="H262" s="5" t="s">
        <v>1500</v>
      </c>
      <c r="I262" s="5" t="s">
        <v>1498</v>
      </c>
      <c r="J262" s="5" t="s">
        <v>433</v>
      </c>
      <c r="K262" s="5" t="s">
        <v>434</v>
      </c>
      <c r="L262" s="5" t="s">
        <v>1501</v>
      </c>
      <c r="M262" s="5"/>
      <c r="N262" s="5" t="s">
        <v>1502</v>
      </c>
      <c r="O262" s="5"/>
      <c r="P262" s="5"/>
      <c r="Q262" s="5" t="s">
        <v>1503</v>
      </c>
      <c r="R262" s="5"/>
      <c r="S262" s="5"/>
      <c r="T262" s="5"/>
      <c r="U262" s="5"/>
      <c r="V262" s="5" t="s">
        <v>947</v>
      </c>
      <c r="W262" s="9">
        <v>45659.6906365741</v>
      </c>
      <c r="X262" s="5"/>
      <c r="Y262" s="5"/>
      <c r="Z262" s="5"/>
      <c r="AA262" s="5"/>
      <c r="AB262" s="5">
        <v>45659.6906365741</v>
      </c>
      <c r="AC262" s="5" t="s">
        <v>947</v>
      </c>
    </row>
    <row r="263" s="1" customFormat="1" ht="17.25" customHeight="1" spans="1:29">
      <c r="A263" s="6" t="s">
        <v>1504</v>
      </c>
      <c r="B263" s="6" t="s">
        <v>389</v>
      </c>
      <c r="C263" s="6" t="s">
        <v>259</v>
      </c>
      <c r="D263" s="6"/>
      <c r="E263" s="6" t="s">
        <v>1082</v>
      </c>
      <c r="F263" s="6" t="s">
        <v>389</v>
      </c>
      <c r="G263" s="6" t="s">
        <v>1082</v>
      </c>
      <c r="H263" s="6" t="s">
        <v>1505</v>
      </c>
      <c r="I263" s="6" t="s">
        <v>1504</v>
      </c>
      <c r="J263" s="6"/>
      <c r="K263" s="6"/>
      <c r="L263" s="6" t="s">
        <v>1506</v>
      </c>
      <c r="M263" s="6"/>
      <c r="N263" s="6" t="s">
        <v>1507</v>
      </c>
      <c r="O263" s="6"/>
      <c r="P263" s="6"/>
      <c r="Q263" s="6" t="s">
        <v>1508</v>
      </c>
      <c r="R263" s="6"/>
      <c r="S263" s="6"/>
      <c r="T263" s="6"/>
      <c r="U263" s="6" t="s">
        <v>1509</v>
      </c>
      <c r="V263" s="6" t="s">
        <v>836</v>
      </c>
      <c r="W263" s="10">
        <v>45693.4919212963</v>
      </c>
      <c r="X263" s="6"/>
      <c r="Y263" s="6"/>
      <c r="Z263" s="6"/>
      <c r="AA263" s="6"/>
      <c r="AB263" s="6">
        <v>45693.4855671296</v>
      </c>
      <c r="AC263" s="6" t="s">
        <v>902</v>
      </c>
    </row>
    <row r="264" s="1" customFormat="1" ht="17.25" customHeight="1" spans="1:29">
      <c r="A264" s="5" t="s">
        <v>1510</v>
      </c>
      <c r="B264" s="5" t="s">
        <v>35</v>
      </c>
      <c r="C264" s="5" t="s">
        <v>259</v>
      </c>
      <c r="D264" s="5" t="s">
        <v>940</v>
      </c>
      <c r="E264" s="5"/>
      <c r="F264" s="5" t="s">
        <v>35</v>
      </c>
      <c r="G264" s="5" t="s">
        <v>261</v>
      </c>
      <c r="H264" s="5" t="s">
        <v>1511</v>
      </c>
      <c r="I264" s="5" t="s">
        <v>1510</v>
      </c>
      <c r="J264" s="5" t="s">
        <v>530</v>
      </c>
      <c r="K264" s="5" t="s">
        <v>531</v>
      </c>
      <c r="L264" s="5" t="s">
        <v>1512</v>
      </c>
      <c r="M264" s="5"/>
      <c r="N264" s="5"/>
      <c r="O264" s="5"/>
      <c r="P264" s="5"/>
      <c r="Q264" s="5"/>
      <c r="R264" s="5"/>
      <c r="S264" s="5"/>
      <c r="T264" s="5"/>
      <c r="U264" s="5"/>
      <c r="V264" s="5" t="s">
        <v>270</v>
      </c>
      <c r="W264" s="9">
        <v>45693.7811342593</v>
      </c>
      <c r="X264" s="5"/>
      <c r="Y264" s="5"/>
      <c r="Z264" s="5"/>
      <c r="AA264" s="5"/>
      <c r="AB264" s="5">
        <v>45693.7793634259</v>
      </c>
      <c r="AC264" s="5" t="s">
        <v>270</v>
      </c>
    </row>
    <row r="265" s="1" customFormat="1" ht="17.25" customHeight="1" spans="1:29">
      <c r="A265" s="6" t="s">
        <v>1513</v>
      </c>
      <c r="B265" s="6"/>
      <c r="C265" s="6"/>
      <c r="D265" s="6" t="s">
        <v>27</v>
      </c>
      <c r="E265" s="6"/>
      <c r="F265" s="6"/>
      <c r="G265" s="6"/>
      <c r="H265" s="6" t="s">
        <v>1514</v>
      </c>
      <c r="I265" s="6" t="s">
        <v>1513</v>
      </c>
      <c r="J265" s="6" t="s">
        <v>1515</v>
      </c>
      <c r="K265" s="6" t="s">
        <v>1516</v>
      </c>
      <c r="L265" s="6" t="s">
        <v>1517</v>
      </c>
      <c r="M265" s="6"/>
      <c r="N265" s="6" t="s">
        <v>1518</v>
      </c>
      <c r="O265" s="6"/>
      <c r="P265" s="6"/>
      <c r="Q265" s="6" t="s">
        <v>1519</v>
      </c>
      <c r="R265" s="6"/>
      <c r="S265" s="6"/>
      <c r="T265" s="6"/>
      <c r="U265" s="6"/>
      <c r="V265" s="6" t="s">
        <v>947</v>
      </c>
      <c r="W265" s="10">
        <v>45717.7198842593</v>
      </c>
      <c r="X265" s="6"/>
      <c r="Y265" s="6"/>
      <c r="Z265" s="6"/>
      <c r="AA265" s="6"/>
      <c r="AB265" s="6">
        <v>45717.7198842593</v>
      </c>
      <c r="AC265" s="6" t="s">
        <v>947</v>
      </c>
    </row>
    <row r="266" s="1" customFormat="1" ht="17.25" customHeight="1" spans="1:29">
      <c r="A266" s="5" t="s">
        <v>1520</v>
      </c>
      <c r="B266" s="5"/>
      <c r="C266" s="5" t="s">
        <v>259</v>
      </c>
      <c r="D266" s="5" t="s">
        <v>27</v>
      </c>
      <c r="E266" s="5"/>
      <c r="F266" s="5"/>
      <c r="G266" s="5"/>
      <c r="H266" s="5" t="s">
        <v>1521</v>
      </c>
      <c r="I266" s="5" t="s">
        <v>1520</v>
      </c>
      <c r="J266" s="5" t="s">
        <v>338</v>
      </c>
      <c r="K266" s="5" t="s">
        <v>339</v>
      </c>
      <c r="L266" s="5" t="s">
        <v>1522</v>
      </c>
      <c r="M266" s="5"/>
      <c r="N266" s="5" t="s">
        <v>1523</v>
      </c>
      <c r="O266" s="5"/>
      <c r="P266" s="5"/>
      <c r="Q266" s="5" t="s">
        <v>1524</v>
      </c>
      <c r="R266" s="5"/>
      <c r="S266" s="5"/>
      <c r="T266" s="5"/>
      <c r="U266" s="5"/>
      <c r="V266" s="5" t="s">
        <v>947</v>
      </c>
      <c r="W266" s="9">
        <v>45722.4922916667</v>
      </c>
      <c r="X266" s="5"/>
      <c r="Y266" s="5"/>
      <c r="Z266" s="5"/>
      <c r="AA266" s="5"/>
      <c r="AB266" s="5">
        <v>45722.4922916667</v>
      </c>
      <c r="AC266" s="5" t="s">
        <v>947</v>
      </c>
    </row>
    <row r="267" s="1" customFormat="1" ht="17.25" customHeight="1" spans="1:29">
      <c r="A267" s="6" t="s">
        <v>1525</v>
      </c>
      <c r="B267" s="6" t="s">
        <v>389</v>
      </c>
      <c r="C267" s="6" t="s">
        <v>259</v>
      </c>
      <c r="D267" s="6" t="s">
        <v>27</v>
      </c>
      <c r="E267" s="6"/>
      <c r="F267" s="6" t="s">
        <v>389</v>
      </c>
      <c r="G267" s="6" t="s">
        <v>261</v>
      </c>
      <c r="H267" s="6" t="s">
        <v>1526</v>
      </c>
      <c r="I267" s="6" t="s">
        <v>1525</v>
      </c>
      <c r="J267" s="6" t="s">
        <v>797</v>
      </c>
      <c r="K267" s="6" t="s">
        <v>798</v>
      </c>
      <c r="L267" s="6" t="s">
        <v>1527</v>
      </c>
      <c r="M267" s="6"/>
      <c r="N267" s="6" t="s">
        <v>1528</v>
      </c>
      <c r="O267" s="6"/>
      <c r="P267" s="6"/>
      <c r="Q267" s="6" t="s">
        <v>1529</v>
      </c>
      <c r="R267" s="6"/>
      <c r="S267" s="6"/>
      <c r="T267" s="6"/>
      <c r="U267" s="6" t="s">
        <v>268</v>
      </c>
      <c r="V267" s="6" t="s">
        <v>270</v>
      </c>
      <c r="W267" s="10">
        <v>45442.7451388889</v>
      </c>
      <c r="X267" s="6"/>
      <c r="Y267" s="6"/>
      <c r="Z267" s="6"/>
      <c r="AA267" s="6"/>
      <c r="AB267" s="6">
        <v>45435.3753587963</v>
      </c>
      <c r="AC267" s="6" t="s">
        <v>270</v>
      </c>
    </row>
    <row r="268" s="1" customFormat="1" ht="17.25" customHeight="1" spans="1:29">
      <c r="A268" s="5" t="s">
        <v>1530</v>
      </c>
      <c r="B268" s="5" t="s">
        <v>258</v>
      </c>
      <c r="C268" s="5" t="s">
        <v>259</v>
      </c>
      <c r="D268" s="5" t="s">
        <v>260</v>
      </c>
      <c r="E268" s="5"/>
      <c r="F268" s="5" t="s">
        <v>258</v>
      </c>
      <c r="G268" s="5" t="s">
        <v>261</v>
      </c>
      <c r="H268" s="5" t="s">
        <v>1531</v>
      </c>
      <c r="I268" s="5" t="s">
        <v>1530</v>
      </c>
      <c r="J268" s="5" t="s">
        <v>422</v>
      </c>
      <c r="K268" s="5" t="s">
        <v>423</v>
      </c>
      <c r="L268" s="5" t="s">
        <v>1532</v>
      </c>
      <c r="M268" s="5"/>
      <c r="N268" s="5" t="s">
        <v>1533</v>
      </c>
      <c r="O268" s="5"/>
      <c r="P268" s="5"/>
      <c r="Q268" s="5" t="s">
        <v>1534</v>
      </c>
      <c r="R268" s="5"/>
      <c r="S268" s="5"/>
      <c r="T268" s="5"/>
      <c r="U268" s="5" t="s">
        <v>268</v>
      </c>
      <c r="V268" s="5" t="s">
        <v>269</v>
      </c>
      <c r="W268" s="9">
        <v>45435.8555787037</v>
      </c>
      <c r="X268" s="5"/>
      <c r="Y268" s="5"/>
      <c r="Z268" s="5"/>
      <c r="AA268" s="5"/>
      <c r="AB268" s="5">
        <v>45428.725462963</v>
      </c>
      <c r="AC268" s="5" t="s">
        <v>270</v>
      </c>
    </row>
    <row r="269" s="1" customFormat="1" ht="17.25" customHeight="1" spans="1:29">
      <c r="A269" s="6" t="s">
        <v>1535</v>
      </c>
      <c r="B269" s="6" t="s">
        <v>258</v>
      </c>
      <c r="C269" s="6" t="s">
        <v>259</v>
      </c>
      <c r="D269" s="6" t="s">
        <v>260</v>
      </c>
      <c r="E269" s="6"/>
      <c r="F269" s="6" t="s">
        <v>258</v>
      </c>
      <c r="G269" s="6" t="s">
        <v>261</v>
      </c>
      <c r="H269" s="6" t="s">
        <v>1536</v>
      </c>
      <c r="I269" s="6" t="s">
        <v>1535</v>
      </c>
      <c r="J269" s="6" t="s">
        <v>338</v>
      </c>
      <c r="K269" s="6" t="s">
        <v>339</v>
      </c>
      <c r="L269" s="6" t="s">
        <v>1537</v>
      </c>
      <c r="M269" s="6"/>
      <c r="N269" s="6" t="s">
        <v>1538</v>
      </c>
      <c r="O269" s="6"/>
      <c r="P269" s="6"/>
      <c r="Q269" s="6" t="s">
        <v>1539</v>
      </c>
      <c r="R269" s="6"/>
      <c r="S269" s="6"/>
      <c r="T269" s="6"/>
      <c r="U269" s="6" t="s">
        <v>268</v>
      </c>
      <c r="V269" s="6" t="s">
        <v>269</v>
      </c>
      <c r="W269" s="10">
        <v>45435.8555787037</v>
      </c>
      <c r="X269" s="6"/>
      <c r="Y269" s="6"/>
      <c r="Z269" s="6"/>
      <c r="AA269" s="6"/>
      <c r="AB269" s="6">
        <v>45428.725462963</v>
      </c>
      <c r="AC269" s="6" t="s">
        <v>270</v>
      </c>
    </row>
    <row r="270" s="1" customFormat="1" ht="17.25" customHeight="1" spans="1:29">
      <c r="A270" s="5" t="s">
        <v>1540</v>
      </c>
      <c r="B270" s="5" t="s">
        <v>258</v>
      </c>
      <c r="C270" s="5" t="s">
        <v>259</v>
      </c>
      <c r="D270" s="5" t="s">
        <v>260</v>
      </c>
      <c r="E270" s="5"/>
      <c r="F270" s="5" t="s">
        <v>258</v>
      </c>
      <c r="G270" s="5" t="s">
        <v>261</v>
      </c>
      <c r="H270" s="5" t="s">
        <v>1541</v>
      </c>
      <c r="I270" s="5" t="s">
        <v>1540</v>
      </c>
      <c r="J270" s="5" t="s">
        <v>297</v>
      </c>
      <c r="K270" s="5" t="s">
        <v>298</v>
      </c>
      <c r="L270" s="5" t="s">
        <v>1542</v>
      </c>
      <c r="M270" s="5"/>
      <c r="N270" s="5" t="s">
        <v>1543</v>
      </c>
      <c r="O270" s="5"/>
      <c r="P270" s="5"/>
      <c r="Q270" s="5" t="s">
        <v>1544</v>
      </c>
      <c r="R270" s="5"/>
      <c r="S270" s="5"/>
      <c r="T270" s="5"/>
      <c r="U270" s="5" t="s">
        <v>268</v>
      </c>
      <c r="V270" s="5" t="s">
        <v>269</v>
      </c>
      <c r="W270" s="9">
        <v>45435.8555787037</v>
      </c>
      <c r="X270" s="5"/>
      <c r="Y270" s="5"/>
      <c r="Z270" s="5"/>
      <c r="AA270" s="5"/>
      <c r="AB270" s="5">
        <v>45428.725462963</v>
      </c>
      <c r="AC270" s="5" t="s">
        <v>270</v>
      </c>
    </row>
    <row r="271" s="1" customFormat="1" ht="17.25" customHeight="1" spans="1:29">
      <c r="A271" s="6" t="s">
        <v>1545</v>
      </c>
      <c r="B271" s="6" t="s">
        <v>258</v>
      </c>
      <c r="C271" s="6" t="s">
        <v>259</v>
      </c>
      <c r="D271" s="6" t="s">
        <v>260</v>
      </c>
      <c r="E271" s="6"/>
      <c r="F271" s="6" t="s">
        <v>258</v>
      </c>
      <c r="G271" s="6" t="s">
        <v>261</v>
      </c>
      <c r="H271" s="6" t="s">
        <v>1546</v>
      </c>
      <c r="I271" s="6" t="s">
        <v>1545</v>
      </c>
      <c r="J271" s="6" t="s">
        <v>263</v>
      </c>
      <c r="K271" s="6" t="s">
        <v>264</v>
      </c>
      <c r="L271" s="6" t="s">
        <v>265</v>
      </c>
      <c r="M271" s="6"/>
      <c r="N271" s="6" t="s">
        <v>1547</v>
      </c>
      <c r="O271" s="6"/>
      <c r="P271" s="6"/>
      <c r="Q271" s="6" t="s">
        <v>1544</v>
      </c>
      <c r="R271" s="6"/>
      <c r="S271" s="6"/>
      <c r="T271" s="6"/>
      <c r="U271" s="6" t="s">
        <v>268</v>
      </c>
      <c r="V271" s="6" t="s">
        <v>269</v>
      </c>
      <c r="W271" s="10">
        <v>45435.8555787037</v>
      </c>
      <c r="X271" s="6"/>
      <c r="Y271" s="6"/>
      <c r="Z271" s="6"/>
      <c r="AA271" s="6"/>
      <c r="AB271" s="6">
        <v>45428.725462963</v>
      </c>
      <c r="AC271" s="6" t="s">
        <v>270</v>
      </c>
    </row>
    <row r="272" s="1" customFormat="1" ht="17.25" customHeight="1" spans="1:29">
      <c r="A272" s="5" t="s">
        <v>1548</v>
      </c>
      <c r="B272" s="5" t="s">
        <v>258</v>
      </c>
      <c r="C272" s="5" t="s">
        <v>259</v>
      </c>
      <c r="D272" s="5" t="s">
        <v>260</v>
      </c>
      <c r="E272" s="5"/>
      <c r="F272" s="5" t="s">
        <v>258</v>
      </c>
      <c r="G272" s="5" t="s">
        <v>261</v>
      </c>
      <c r="H272" s="5" t="s">
        <v>1549</v>
      </c>
      <c r="I272" s="5" t="s">
        <v>1548</v>
      </c>
      <c r="J272" s="5" t="s">
        <v>530</v>
      </c>
      <c r="K272" s="5" t="s">
        <v>531</v>
      </c>
      <c r="L272" s="5" t="s">
        <v>1550</v>
      </c>
      <c r="M272" s="5"/>
      <c r="N272" s="5" t="s">
        <v>1551</v>
      </c>
      <c r="O272" s="5"/>
      <c r="P272" s="5"/>
      <c r="Q272" s="5" t="s">
        <v>1552</v>
      </c>
      <c r="R272" s="5"/>
      <c r="S272" s="5"/>
      <c r="T272" s="5"/>
      <c r="U272" s="5" t="s">
        <v>268</v>
      </c>
      <c r="V272" s="5" t="s">
        <v>270</v>
      </c>
      <c r="W272" s="9">
        <v>45440.6079166667</v>
      </c>
      <c r="X272" s="5"/>
      <c r="Y272" s="5"/>
      <c r="Z272" s="5"/>
      <c r="AA272" s="5"/>
      <c r="AB272" s="5">
        <v>45435.6073842593</v>
      </c>
      <c r="AC272" s="5" t="s">
        <v>270</v>
      </c>
    </row>
    <row r="273" s="1" customFormat="1" ht="17.25" customHeight="1" spans="1:29">
      <c r="A273" s="6" t="s">
        <v>228</v>
      </c>
      <c r="B273" s="6" t="s">
        <v>229</v>
      </c>
      <c r="C273" s="6" t="s">
        <v>259</v>
      </c>
      <c r="D273" s="6" t="s">
        <v>1553</v>
      </c>
      <c r="E273" s="6" t="s">
        <v>232</v>
      </c>
      <c r="F273" s="6" t="s">
        <v>233</v>
      </c>
      <c r="G273" s="6" t="s">
        <v>234</v>
      </c>
      <c r="H273" s="6"/>
      <c r="I273" s="6"/>
      <c r="J273" s="6" t="s">
        <v>237</v>
      </c>
      <c r="K273" s="6"/>
      <c r="L273" s="6" t="s">
        <v>239</v>
      </c>
      <c r="M273" s="6"/>
      <c r="N273" s="6" t="s">
        <v>241</v>
      </c>
      <c r="O273" s="6" t="s">
        <v>242</v>
      </c>
      <c r="P273" s="6" t="s">
        <v>243</v>
      </c>
      <c r="Q273" s="6" t="s">
        <v>244</v>
      </c>
      <c r="R273" s="6" t="s">
        <v>245</v>
      </c>
      <c r="S273" s="6" t="s">
        <v>246</v>
      </c>
      <c r="T273" s="6"/>
      <c r="U273" s="6" t="s">
        <v>248</v>
      </c>
      <c r="V273" s="6" t="s">
        <v>836</v>
      </c>
      <c r="W273" s="10">
        <v>45441.7473263889</v>
      </c>
      <c r="X273" s="6"/>
      <c r="Y273" s="6"/>
      <c r="Z273" s="6"/>
      <c r="AA273" s="6"/>
      <c r="AB273" s="6">
        <v>45441.7473263889</v>
      </c>
      <c r="AC273" s="6" t="s">
        <v>836</v>
      </c>
    </row>
    <row r="274" s="1" customFormat="1" ht="17.25" customHeight="1" spans="1:29">
      <c r="A274" s="5" t="s">
        <v>1554</v>
      </c>
      <c r="B274" s="5" t="s">
        <v>389</v>
      </c>
      <c r="C274" s="5" t="s">
        <v>259</v>
      </c>
      <c r="D274" s="5" t="s">
        <v>27</v>
      </c>
      <c r="E274" s="5"/>
      <c r="F274" s="5" t="s">
        <v>389</v>
      </c>
      <c r="G274" s="5" t="s">
        <v>261</v>
      </c>
      <c r="H274" s="5" t="s">
        <v>894</v>
      </c>
      <c r="I274" s="5" t="s">
        <v>893</v>
      </c>
      <c r="J274" s="5" t="s">
        <v>440</v>
      </c>
      <c r="K274" s="5" t="s">
        <v>441</v>
      </c>
      <c r="L274" s="5" t="s">
        <v>442</v>
      </c>
      <c r="M274" s="5"/>
      <c r="N274" s="5" t="s">
        <v>1555</v>
      </c>
      <c r="O274" s="5"/>
      <c r="P274" s="5"/>
      <c r="Q274" s="5" t="s">
        <v>1556</v>
      </c>
      <c r="R274" s="5"/>
      <c r="S274" s="5"/>
      <c r="T274" s="5"/>
      <c r="U274" s="5"/>
      <c r="V274" s="5" t="s">
        <v>270</v>
      </c>
      <c r="W274" s="9">
        <v>45518.6974189815</v>
      </c>
      <c r="X274" s="5"/>
      <c r="Y274" s="5"/>
      <c r="Z274" s="5"/>
      <c r="AA274" s="5"/>
      <c r="AB274" s="5">
        <v>45518.6923842593</v>
      </c>
      <c r="AC274" s="5" t="s">
        <v>270</v>
      </c>
    </row>
    <row r="275" s="1" customFormat="1" ht="17.25" customHeight="1" spans="1:29">
      <c r="A275" s="5" t="s">
        <v>1557</v>
      </c>
      <c r="B275" s="5" t="s">
        <v>389</v>
      </c>
      <c r="C275" s="5" t="s">
        <v>259</v>
      </c>
      <c r="D275" s="5" t="s">
        <v>27</v>
      </c>
      <c r="E275" s="5"/>
      <c r="F275" s="5" t="s">
        <v>389</v>
      </c>
      <c r="G275" s="5" t="s">
        <v>261</v>
      </c>
      <c r="H275" s="5" t="s">
        <v>1558</v>
      </c>
      <c r="I275" s="5" t="s">
        <v>1557</v>
      </c>
      <c r="J275" s="5" t="s">
        <v>297</v>
      </c>
      <c r="K275" s="5" t="s">
        <v>298</v>
      </c>
      <c r="L275" s="5" t="s">
        <v>490</v>
      </c>
      <c r="M275" s="5"/>
      <c r="N275" s="5" t="s">
        <v>1559</v>
      </c>
      <c r="O275" s="5"/>
      <c r="P275" s="5"/>
      <c r="Q275" s="5" t="s">
        <v>1560</v>
      </c>
      <c r="R275" s="5"/>
      <c r="S275" s="5"/>
      <c r="T275" s="5"/>
      <c r="U275" s="5" t="s">
        <v>268</v>
      </c>
      <c r="V275" s="5" t="s">
        <v>269</v>
      </c>
      <c r="W275" s="9">
        <v>45428.7600347222</v>
      </c>
      <c r="X275" s="5"/>
      <c r="Y275" s="5"/>
      <c r="Z275" s="5"/>
      <c r="AA275" s="5"/>
      <c r="AB275" s="5">
        <v>45428.7600347222</v>
      </c>
      <c r="AC275" s="5" t="s">
        <v>269</v>
      </c>
    </row>
    <row r="276" s="1" customFormat="1" ht="17.25" customHeight="1" spans="1:29">
      <c r="A276" s="6" t="s">
        <v>1561</v>
      </c>
      <c r="B276" s="6" t="s">
        <v>389</v>
      </c>
      <c r="C276" s="6" t="s">
        <v>259</v>
      </c>
      <c r="D276" s="6" t="s">
        <v>27</v>
      </c>
      <c r="E276" s="6"/>
      <c r="F276" s="6" t="s">
        <v>389</v>
      </c>
      <c r="G276" s="6" t="s">
        <v>261</v>
      </c>
      <c r="H276" s="6" t="s">
        <v>1562</v>
      </c>
      <c r="I276" s="6" t="s">
        <v>1561</v>
      </c>
      <c r="J276" s="6" t="s">
        <v>297</v>
      </c>
      <c r="K276" s="6" t="s">
        <v>298</v>
      </c>
      <c r="L276" s="6" t="s">
        <v>490</v>
      </c>
      <c r="M276" s="6"/>
      <c r="N276" s="6" t="s">
        <v>1563</v>
      </c>
      <c r="O276" s="6"/>
      <c r="P276" s="6"/>
      <c r="Q276" s="6" t="s">
        <v>1564</v>
      </c>
      <c r="R276" s="6"/>
      <c r="S276" s="6"/>
      <c r="T276" s="6"/>
      <c r="U276" s="6" t="s">
        <v>268</v>
      </c>
      <c r="V276" s="6" t="s">
        <v>269</v>
      </c>
      <c r="W276" s="10">
        <v>45428.7600347222</v>
      </c>
      <c r="X276" s="6"/>
      <c r="Y276" s="6"/>
      <c r="Z276" s="6"/>
      <c r="AA276" s="6"/>
      <c r="AB276" s="6">
        <v>45428.7600347222</v>
      </c>
      <c r="AC276" s="6" t="s">
        <v>269</v>
      </c>
    </row>
    <row r="277" s="1" customFormat="1" ht="17.25" customHeight="1" spans="1:29">
      <c r="A277" s="5" t="s">
        <v>1565</v>
      </c>
      <c r="B277" s="5" t="s">
        <v>389</v>
      </c>
      <c r="C277" s="5" t="s">
        <v>259</v>
      </c>
      <c r="D277" s="5" t="s">
        <v>27</v>
      </c>
      <c r="E277" s="5"/>
      <c r="F277" s="5" t="s">
        <v>389</v>
      </c>
      <c r="G277" s="5" t="s">
        <v>261</v>
      </c>
      <c r="H277" s="5" t="s">
        <v>1566</v>
      </c>
      <c r="I277" s="5" t="s">
        <v>1565</v>
      </c>
      <c r="J277" s="5" t="s">
        <v>338</v>
      </c>
      <c r="K277" s="5" t="s">
        <v>339</v>
      </c>
      <c r="L277" s="5" t="s">
        <v>1010</v>
      </c>
      <c r="M277" s="5"/>
      <c r="N277" s="5" t="s">
        <v>1567</v>
      </c>
      <c r="O277" s="5"/>
      <c r="P277" s="5"/>
      <c r="Q277" s="5" t="s">
        <v>1012</v>
      </c>
      <c r="R277" s="5"/>
      <c r="S277" s="5"/>
      <c r="T277" s="5"/>
      <c r="U277" s="5" t="s">
        <v>268</v>
      </c>
      <c r="V277" s="5" t="s">
        <v>269</v>
      </c>
      <c r="W277" s="9">
        <v>45428.7600347222</v>
      </c>
      <c r="X277" s="5"/>
      <c r="Y277" s="5"/>
      <c r="Z277" s="5"/>
      <c r="AA277" s="5"/>
      <c r="AB277" s="5">
        <v>45428.7600347222</v>
      </c>
      <c r="AC277" s="5" t="s">
        <v>269</v>
      </c>
    </row>
    <row r="278" s="1" customFormat="1" ht="17.25" customHeight="1" spans="1:29">
      <c r="A278" s="6" t="s">
        <v>1568</v>
      </c>
      <c r="B278" s="6" t="s">
        <v>389</v>
      </c>
      <c r="C278" s="6" t="s">
        <v>259</v>
      </c>
      <c r="D278" s="6" t="s">
        <v>27</v>
      </c>
      <c r="E278" s="6"/>
      <c r="F278" s="6" t="s">
        <v>389</v>
      </c>
      <c r="G278" s="6" t="s">
        <v>261</v>
      </c>
      <c r="H278" s="6" t="s">
        <v>1569</v>
      </c>
      <c r="I278" s="6" t="s">
        <v>1568</v>
      </c>
      <c r="J278" s="6" t="s">
        <v>357</v>
      </c>
      <c r="K278" s="6" t="s">
        <v>358</v>
      </c>
      <c r="L278" s="6" t="s">
        <v>359</v>
      </c>
      <c r="M278" s="6"/>
      <c r="N278" s="6" t="s">
        <v>1570</v>
      </c>
      <c r="O278" s="6"/>
      <c r="P278" s="6"/>
      <c r="Q278" s="6" t="s">
        <v>361</v>
      </c>
      <c r="R278" s="6"/>
      <c r="S278" s="6"/>
      <c r="T278" s="6"/>
      <c r="U278" s="6" t="s">
        <v>268</v>
      </c>
      <c r="V278" s="6" t="s">
        <v>269</v>
      </c>
      <c r="W278" s="10">
        <v>45428.7600347222</v>
      </c>
      <c r="X278" s="6"/>
      <c r="Y278" s="6"/>
      <c r="Z278" s="6"/>
      <c r="AA278" s="6"/>
      <c r="AB278" s="6">
        <v>45428.7600347222</v>
      </c>
      <c r="AC278" s="6" t="s">
        <v>269</v>
      </c>
    </row>
    <row r="279" s="1" customFormat="1" ht="17.25" customHeight="1" spans="1:29">
      <c r="A279" s="5" t="s">
        <v>1571</v>
      </c>
      <c r="B279" s="5" t="s">
        <v>389</v>
      </c>
      <c r="C279" s="5" t="s">
        <v>259</v>
      </c>
      <c r="D279" s="5" t="s">
        <v>27</v>
      </c>
      <c r="E279" s="5"/>
      <c r="F279" s="5" t="s">
        <v>389</v>
      </c>
      <c r="G279" s="5" t="s">
        <v>261</v>
      </c>
      <c r="H279" s="5" t="s">
        <v>1572</v>
      </c>
      <c r="I279" s="5" t="s">
        <v>1571</v>
      </c>
      <c r="J279" s="5" t="s">
        <v>357</v>
      </c>
      <c r="K279" s="5" t="s">
        <v>358</v>
      </c>
      <c r="L279" s="5" t="s">
        <v>1573</v>
      </c>
      <c r="M279" s="5"/>
      <c r="N279" s="5" t="s">
        <v>1574</v>
      </c>
      <c r="O279" s="5"/>
      <c r="P279" s="5"/>
      <c r="Q279" s="5" t="s">
        <v>1575</v>
      </c>
      <c r="R279" s="5"/>
      <c r="S279" s="5"/>
      <c r="T279" s="5"/>
      <c r="U279" s="5" t="s">
        <v>268</v>
      </c>
      <c r="V279" s="5" t="s">
        <v>269</v>
      </c>
      <c r="W279" s="9">
        <v>45428.7600347222</v>
      </c>
      <c r="X279" s="5"/>
      <c r="Y279" s="5"/>
      <c r="Z279" s="5"/>
      <c r="AA279" s="5"/>
      <c r="AB279" s="5">
        <v>45428.7600347222</v>
      </c>
      <c r="AC279" s="5" t="s">
        <v>269</v>
      </c>
    </row>
    <row r="280" s="1" customFormat="1" ht="17.25" customHeight="1" spans="1:29">
      <c r="A280" s="6" t="s">
        <v>1576</v>
      </c>
      <c r="B280" s="6" t="s">
        <v>389</v>
      </c>
      <c r="C280" s="6" t="s">
        <v>259</v>
      </c>
      <c r="D280" s="6" t="s">
        <v>27</v>
      </c>
      <c r="E280" s="6"/>
      <c r="F280" s="6" t="s">
        <v>389</v>
      </c>
      <c r="G280" s="6" t="s">
        <v>261</v>
      </c>
      <c r="H280" s="6" t="s">
        <v>1577</v>
      </c>
      <c r="I280" s="6" t="s">
        <v>1576</v>
      </c>
      <c r="J280" s="6" t="s">
        <v>263</v>
      </c>
      <c r="K280" s="6" t="s">
        <v>264</v>
      </c>
      <c r="L280" s="6" t="s">
        <v>1578</v>
      </c>
      <c r="M280" s="6"/>
      <c r="N280" s="6" t="s">
        <v>1579</v>
      </c>
      <c r="O280" s="6"/>
      <c r="P280" s="6"/>
      <c r="Q280" s="6" t="s">
        <v>1580</v>
      </c>
      <c r="R280" s="6"/>
      <c r="S280" s="6"/>
      <c r="T280" s="6"/>
      <c r="U280" s="6" t="s">
        <v>268</v>
      </c>
      <c r="V280" s="6" t="s">
        <v>269</v>
      </c>
      <c r="W280" s="10">
        <v>45428.7600347222</v>
      </c>
      <c r="X280" s="6"/>
      <c r="Y280" s="6"/>
      <c r="Z280" s="6"/>
      <c r="AA280" s="6"/>
      <c r="AB280" s="6">
        <v>45428.7600347222</v>
      </c>
      <c r="AC280" s="6" t="s">
        <v>269</v>
      </c>
    </row>
    <row r="281" s="1" customFormat="1" ht="17.25" customHeight="1" spans="1:29">
      <c r="A281" s="5" t="s">
        <v>1581</v>
      </c>
      <c r="B281" s="5" t="s">
        <v>389</v>
      </c>
      <c r="C281" s="5" t="s">
        <v>259</v>
      </c>
      <c r="D281" s="5" t="s">
        <v>27</v>
      </c>
      <c r="E281" s="5"/>
      <c r="F281" s="5" t="s">
        <v>389</v>
      </c>
      <c r="G281" s="5" t="s">
        <v>261</v>
      </c>
      <c r="H281" s="5" t="s">
        <v>1582</v>
      </c>
      <c r="I281" s="5" t="s">
        <v>1581</v>
      </c>
      <c r="J281" s="5" t="s">
        <v>263</v>
      </c>
      <c r="K281" s="5" t="s">
        <v>264</v>
      </c>
      <c r="L281" s="5" t="s">
        <v>1583</v>
      </c>
      <c r="M281" s="5"/>
      <c r="N281" s="5" t="s">
        <v>1584</v>
      </c>
      <c r="O281" s="5"/>
      <c r="P281" s="5"/>
      <c r="Q281" s="5" t="s">
        <v>1585</v>
      </c>
      <c r="R281" s="5"/>
      <c r="S281" s="5"/>
      <c r="T281" s="5"/>
      <c r="U281" s="5" t="s">
        <v>268</v>
      </c>
      <c r="V281" s="5" t="s">
        <v>269</v>
      </c>
      <c r="W281" s="9">
        <v>45428.7600347222</v>
      </c>
      <c r="X281" s="5"/>
      <c r="Y281" s="5"/>
      <c r="Z281" s="5"/>
      <c r="AA281" s="5"/>
      <c r="AB281" s="5">
        <v>45428.7600347222</v>
      </c>
      <c r="AC281" s="5" t="s">
        <v>269</v>
      </c>
    </row>
    <row r="282" s="1" customFormat="1" ht="17.25" customHeight="1" spans="1:29">
      <c r="A282" s="6" t="s">
        <v>1586</v>
      </c>
      <c r="B282" s="6" t="s">
        <v>389</v>
      </c>
      <c r="C282" s="6" t="s">
        <v>259</v>
      </c>
      <c r="D282" s="6" t="s">
        <v>27</v>
      </c>
      <c r="E282" s="6"/>
      <c r="F282" s="6" t="s">
        <v>389</v>
      </c>
      <c r="G282" s="6" t="s">
        <v>261</v>
      </c>
      <c r="H282" s="6" t="s">
        <v>1587</v>
      </c>
      <c r="I282" s="6" t="s">
        <v>1586</v>
      </c>
      <c r="J282" s="6" t="s">
        <v>350</v>
      </c>
      <c r="K282" s="6" t="s">
        <v>351</v>
      </c>
      <c r="L282" s="6" t="s">
        <v>1588</v>
      </c>
      <c r="M282" s="6"/>
      <c r="N282" s="6" t="s">
        <v>1589</v>
      </c>
      <c r="O282" s="6"/>
      <c r="P282" s="6"/>
      <c r="Q282" s="6" t="s">
        <v>1590</v>
      </c>
      <c r="R282" s="6"/>
      <c r="S282" s="6"/>
      <c r="T282" s="6"/>
      <c r="U282" s="6" t="s">
        <v>268</v>
      </c>
      <c r="V282" s="6" t="s">
        <v>269</v>
      </c>
      <c r="W282" s="10">
        <v>45428.7600347222</v>
      </c>
      <c r="X282" s="6"/>
      <c r="Y282" s="6"/>
      <c r="Z282" s="6"/>
      <c r="AA282" s="6"/>
      <c r="AB282" s="6">
        <v>45428.7600347222</v>
      </c>
      <c r="AC282" s="6" t="s">
        <v>269</v>
      </c>
    </row>
    <row r="283" s="1" customFormat="1" ht="17.25" customHeight="1" spans="1:29">
      <c r="A283" s="5" t="s">
        <v>1591</v>
      </c>
      <c r="B283" s="5" t="s">
        <v>389</v>
      </c>
      <c r="C283" s="5" t="s">
        <v>259</v>
      </c>
      <c r="D283" s="5" t="s">
        <v>27</v>
      </c>
      <c r="E283" s="5"/>
      <c r="F283" s="5" t="s">
        <v>389</v>
      </c>
      <c r="G283" s="5" t="s">
        <v>261</v>
      </c>
      <c r="H283" s="5" t="s">
        <v>1592</v>
      </c>
      <c r="I283" s="5" t="s">
        <v>1591</v>
      </c>
      <c r="J283" s="5" t="s">
        <v>350</v>
      </c>
      <c r="K283" s="5" t="s">
        <v>351</v>
      </c>
      <c r="L283" s="5" t="s">
        <v>1593</v>
      </c>
      <c r="M283" s="5"/>
      <c r="N283" s="5" t="s">
        <v>1594</v>
      </c>
      <c r="O283" s="5"/>
      <c r="P283" s="5"/>
      <c r="Q283" s="5" t="s">
        <v>1595</v>
      </c>
      <c r="R283" s="5"/>
      <c r="S283" s="5"/>
      <c r="T283" s="5"/>
      <c r="U283" s="5" t="s">
        <v>268</v>
      </c>
      <c r="V283" s="5" t="s">
        <v>269</v>
      </c>
      <c r="W283" s="9">
        <v>45428.7600347222</v>
      </c>
      <c r="X283" s="5"/>
      <c r="Y283" s="5"/>
      <c r="Z283" s="5"/>
      <c r="AA283" s="5"/>
      <c r="AB283" s="5">
        <v>45428.7600347222</v>
      </c>
      <c r="AC283" s="5" t="s">
        <v>269</v>
      </c>
    </row>
    <row r="284" s="1" customFormat="1" ht="17.25" customHeight="1" spans="1:29">
      <c r="A284" s="6" t="s">
        <v>1596</v>
      </c>
      <c r="B284" s="6" t="s">
        <v>389</v>
      </c>
      <c r="C284" s="6" t="s">
        <v>259</v>
      </c>
      <c r="D284" s="6" t="s">
        <v>27</v>
      </c>
      <c r="E284" s="6"/>
      <c r="F284" s="6" t="s">
        <v>389</v>
      </c>
      <c r="G284" s="6" t="s">
        <v>261</v>
      </c>
      <c r="H284" s="6" t="s">
        <v>1597</v>
      </c>
      <c r="I284" s="6" t="s">
        <v>1596</v>
      </c>
      <c r="J284" s="6" t="s">
        <v>324</v>
      </c>
      <c r="K284" s="6" t="s">
        <v>325</v>
      </c>
      <c r="L284" s="6" t="s">
        <v>326</v>
      </c>
      <c r="M284" s="6"/>
      <c r="N284" s="6" t="s">
        <v>1598</v>
      </c>
      <c r="O284" s="6"/>
      <c r="P284" s="6"/>
      <c r="Q284" s="6" t="s">
        <v>328</v>
      </c>
      <c r="R284" s="6"/>
      <c r="S284" s="6"/>
      <c r="T284" s="6"/>
      <c r="U284" s="6" t="s">
        <v>268</v>
      </c>
      <c r="V284" s="6" t="s">
        <v>269</v>
      </c>
      <c r="W284" s="10">
        <v>45428.7600347222</v>
      </c>
      <c r="X284" s="6"/>
      <c r="Y284" s="6"/>
      <c r="Z284" s="6"/>
      <c r="AA284" s="6"/>
      <c r="AB284" s="6">
        <v>45428.7600347222</v>
      </c>
      <c r="AC284" s="6" t="s">
        <v>269</v>
      </c>
    </row>
    <row r="285" s="1" customFormat="1" ht="17.25" customHeight="1" spans="1:29">
      <c r="A285" s="5" t="s">
        <v>1599</v>
      </c>
      <c r="B285" s="5" t="s">
        <v>389</v>
      </c>
      <c r="C285" s="5" t="s">
        <v>259</v>
      </c>
      <c r="D285" s="5" t="s">
        <v>27</v>
      </c>
      <c r="E285" s="5"/>
      <c r="F285" s="5" t="s">
        <v>389</v>
      </c>
      <c r="G285" s="5" t="s">
        <v>261</v>
      </c>
      <c r="H285" s="5" t="s">
        <v>1600</v>
      </c>
      <c r="I285" s="5" t="s">
        <v>1599</v>
      </c>
      <c r="J285" s="5" t="s">
        <v>324</v>
      </c>
      <c r="K285" s="5" t="s">
        <v>325</v>
      </c>
      <c r="L285" s="5" t="s">
        <v>1601</v>
      </c>
      <c r="M285" s="5"/>
      <c r="N285" s="5" t="s">
        <v>1602</v>
      </c>
      <c r="O285" s="5"/>
      <c r="P285" s="5"/>
      <c r="Q285" s="5" t="s">
        <v>1603</v>
      </c>
      <c r="R285" s="5"/>
      <c r="S285" s="5"/>
      <c r="T285" s="5"/>
      <c r="U285" s="5" t="s">
        <v>268</v>
      </c>
      <c r="V285" s="5" t="s">
        <v>269</v>
      </c>
      <c r="W285" s="9">
        <v>45428.7600347222</v>
      </c>
      <c r="X285" s="5"/>
      <c r="Y285" s="5"/>
      <c r="Z285" s="5"/>
      <c r="AA285" s="5"/>
      <c r="AB285" s="5">
        <v>45428.7600347222</v>
      </c>
      <c r="AC285" s="5" t="s">
        <v>269</v>
      </c>
    </row>
    <row r="286" s="1" customFormat="1" ht="17.25" customHeight="1" spans="1:29">
      <c r="A286" s="6" t="s">
        <v>1604</v>
      </c>
      <c r="B286" s="6" t="s">
        <v>389</v>
      </c>
      <c r="C286" s="6" t="s">
        <v>259</v>
      </c>
      <c r="D286" s="6" t="s">
        <v>27</v>
      </c>
      <c r="E286" s="6"/>
      <c r="F286" s="6" t="s">
        <v>389</v>
      </c>
      <c r="G286" s="6" t="s">
        <v>261</v>
      </c>
      <c r="H286" s="6" t="s">
        <v>1605</v>
      </c>
      <c r="I286" s="6" t="s">
        <v>1604</v>
      </c>
      <c r="J286" s="6" t="s">
        <v>1312</v>
      </c>
      <c r="K286" s="6" t="s">
        <v>1313</v>
      </c>
      <c r="L286" s="6" t="s">
        <v>1606</v>
      </c>
      <c r="M286" s="6"/>
      <c r="N286" s="6" t="s">
        <v>1607</v>
      </c>
      <c r="O286" s="6"/>
      <c r="P286" s="6"/>
      <c r="Q286" s="6" t="s">
        <v>1608</v>
      </c>
      <c r="R286" s="6"/>
      <c r="S286" s="6"/>
      <c r="T286" s="6"/>
      <c r="U286" s="6" t="s">
        <v>268</v>
      </c>
      <c r="V286" s="6" t="s">
        <v>269</v>
      </c>
      <c r="W286" s="10">
        <v>45428.7600347222</v>
      </c>
      <c r="X286" s="6"/>
      <c r="Y286" s="6"/>
      <c r="Z286" s="6"/>
      <c r="AA286" s="6"/>
      <c r="AB286" s="6">
        <v>45428.7600347222</v>
      </c>
      <c r="AC286" s="6" t="s">
        <v>269</v>
      </c>
    </row>
    <row r="287" s="1" customFormat="1" ht="17.25" customHeight="1" spans="1:29">
      <c r="A287" s="5" t="s">
        <v>1609</v>
      </c>
      <c r="B287" s="5" t="s">
        <v>389</v>
      </c>
      <c r="C287" s="5" t="s">
        <v>259</v>
      </c>
      <c r="D287" s="5" t="s">
        <v>27</v>
      </c>
      <c r="E287" s="5"/>
      <c r="F287" s="5" t="s">
        <v>389</v>
      </c>
      <c r="G287" s="5" t="s">
        <v>261</v>
      </c>
      <c r="H287" s="5" t="s">
        <v>1610</v>
      </c>
      <c r="I287" s="5" t="s">
        <v>1609</v>
      </c>
      <c r="J287" s="5" t="s">
        <v>1312</v>
      </c>
      <c r="K287" s="5" t="s">
        <v>1313</v>
      </c>
      <c r="L287" s="5" t="s">
        <v>1611</v>
      </c>
      <c r="M287" s="5"/>
      <c r="N287" s="5" t="s">
        <v>1612</v>
      </c>
      <c r="O287" s="5"/>
      <c r="P287" s="5"/>
      <c r="Q287" s="5" t="s">
        <v>1613</v>
      </c>
      <c r="R287" s="5"/>
      <c r="S287" s="5"/>
      <c r="T287" s="5"/>
      <c r="U287" s="5" t="s">
        <v>268</v>
      </c>
      <c r="V287" s="5" t="s">
        <v>269</v>
      </c>
      <c r="W287" s="9">
        <v>45428.7600347222</v>
      </c>
      <c r="X287" s="5"/>
      <c r="Y287" s="5"/>
      <c r="Z287" s="5"/>
      <c r="AA287" s="5"/>
      <c r="AB287" s="5">
        <v>45428.7600347222</v>
      </c>
      <c r="AC287" s="5" t="s">
        <v>269</v>
      </c>
    </row>
    <row r="288" s="1" customFormat="1" ht="17.25" customHeight="1" spans="1:29">
      <c r="A288" s="6" t="s">
        <v>1614</v>
      </c>
      <c r="B288" s="6" t="s">
        <v>389</v>
      </c>
      <c r="C288" s="6" t="s">
        <v>259</v>
      </c>
      <c r="D288" s="6" t="s">
        <v>27</v>
      </c>
      <c r="E288" s="6"/>
      <c r="F288" s="6" t="s">
        <v>389</v>
      </c>
      <c r="G288" s="6" t="s">
        <v>261</v>
      </c>
      <c r="H288" s="6" t="s">
        <v>1615</v>
      </c>
      <c r="I288" s="6" t="s">
        <v>1614</v>
      </c>
      <c r="J288" s="6" t="s">
        <v>304</v>
      </c>
      <c r="K288" s="6" t="s">
        <v>305</v>
      </c>
      <c r="L288" s="6" t="s">
        <v>1616</v>
      </c>
      <c r="M288" s="6"/>
      <c r="N288" s="6" t="s">
        <v>1617</v>
      </c>
      <c r="O288" s="6"/>
      <c r="P288" s="6"/>
      <c r="Q288" s="6" t="s">
        <v>1618</v>
      </c>
      <c r="R288" s="6"/>
      <c r="S288" s="6"/>
      <c r="T288" s="6"/>
      <c r="U288" s="6" t="s">
        <v>268</v>
      </c>
      <c r="V288" s="6" t="s">
        <v>269</v>
      </c>
      <c r="W288" s="10">
        <v>45428.7600347222</v>
      </c>
      <c r="X288" s="6"/>
      <c r="Y288" s="6"/>
      <c r="Z288" s="6"/>
      <c r="AA288" s="6"/>
      <c r="AB288" s="6">
        <v>45428.7600347222</v>
      </c>
      <c r="AC288" s="6" t="s">
        <v>269</v>
      </c>
    </row>
    <row r="289" s="1" customFormat="1" ht="17.25" customHeight="1" spans="1:29">
      <c r="A289" s="5" t="s">
        <v>1619</v>
      </c>
      <c r="B289" s="5" t="s">
        <v>389</v>
      </c>
      <c r="C289" s="5" t="s">
        <v>259</v>
      </c>
      <c r="D289" s="5" t="s">
        <v>27</v>
      </c>
      <c r="E289" s="5"/>
      <c r="F289" s="5" t="s">
        <v>389</v>
      </c>
      <c r="G289" s="5" t="s">
        <v>261</v>
      </c>
      <c r="H289" s="5" t="s">
        <v>1620</v>
      </c>
      <c r="I289" s="5" t="s">
        <v>1619</v>
      </c>
      <c r="J289" s="5" t="s">
        <v>304</v>
      </c>
      <c r="K289" s="5" t="s">
        <v>305</v>
      </c>
      <c r="L289" s="5" t="s">
        <v>1621</v>
      </c>
      <c r="M289" s="5"/>
      <c r="N289" s="5" t="s">
        <v>1622</v>
      </c>
      <c r="O289" s="5"/>
      <c r="P289" s="5"/>
      <c r="Q289" s="5" t="s">
        <v>1623</v>
      </c>
      <c r="R289" s="5"/>
      <c r="S289" s="5"/>
      <c r="T289" s="5"/>
      <c r="U289" s="5" t="s">
        <v>268</v>
      </c>
      <c r="V289" s="5" t="s">
        <v>269</v>
      </c>
      <c r="W289" s="9">
        <v>45428.7600347222</v>
      </c>
      <c r="X289" s="5"/>
      <c r="Y289" s="5"/>
      <c r="Z289" s="5"/>
      <c r="AA289" s="5"/>
      <c r="AB289" s="5">
        <v>45428.7600347222</v>
      </c>
      <c r="AC289" s="5" t="s">
        <v>269</v>
      </c>
    </row>
    <row r="290" s="1" customFormat="1" ht="17.25" customHeight="1" spans="1:29">
      <c r="A290" s="6" t="s">
        <v>1624</v>
      </c>
      <c r="B290" s="6" t="s">
        <v>389</v>
      </c>
      <c r="C290" s="6" t="s">
        <v>259</v>
      </c>
      <c r="D290" s="6" t="s">
        <v>27</v>
      </c>
      <c r="E290" s="6"/>
      <c r="F290" s="6" t="s">
        <v>389</v>
      </c>
      <c r="G290" s="6" t="s">
        <v>261</v>
      </c>
      <c r="H290" s="6" t="s">
        <v>1625</v>
      </c>
      <c r="I290" s="6" t="s">
        <v>1624</v>
      </c>
      <c r="J290" s="6" t="s">
        <v>1626</v>
      </c>
      <c r="K290" s="6" t="s">
        <v>1627</v>
      </c>
      <c r="L290" s="6" t="s">
        <v>1628</v>
      </c>
      <c r="M290" s="6"/>
      <c r="N290" s="6" t="s">
        <v>1629</v>
      </c>
      <c r="O290" s="6"/>
      <c r="P290" s="6"/>
      <c r="Q290" s="6" t="s">
        <v>1630</v>
      </c>
      <c r="R290" s="6"/>
      <c r="S290" s="6"/>
      <c r="T290" s="6"/>
      <c r="U290" s="6" t="s">
        <v>268</v>
      </c>
      <c r="V290" s="6" t="s">
        <v>269</v>
      </c>
      <c r="W290" s="10">
        <v>45428.7600347222</v>
      </c>
      <c r="X290" s="6"/>
      <c r="Y290" s="6"/>
      <c r="Z290" s="6"/>
      <c r="AA290" s="6"/>
      <c r="AB290" s="6">
        <v>45428.7600347222</v>
      </c>
      <c r="AC290" s="6" t="s">
        <v>269</v>
      </c>
    </row>
    <row r="291" s="1" customFormat="1" ht="17.25" customHeight="1" spans="1:29">
      <c r="A291" s="5" t="s">
        <v>1631</v>
      </c>
      <c r="B291" s="5" t="s">
        <v>389</v>
      </c>
      <c r="C291" s="5" t="s">
        <v>259</v>
      </c>
      <c r="D291" s="5" t="s">
        <v>27</v>
      </c>
      <c r="E291" s="5"/>
      <c r="F291" s="5" t="s">
        <v>389</v>
      </c>
      <c r="G291" s="5" t="s">
        <v>261</v>
      </c>
      <c r="H291" s="5" t="s">
        <v>1632</v>
      </c>
      <c r="I291" s="5" t="s">
        <v>1631</v>
      </c>
      <c r="J291" s="5" t="s">
        <v>1626</v>
      </c>
      <c r="K291" s="5" t="s">
        <v>1627</v>
      </c>
      <c r="L291" s="5" t="s">
        <v>1633</v>
      </c>
      <c r="M291" s="5"/>
      <c r="N291" s="5" t="s">
        <v>1634</v>
      </c>
      <c r="O291" s="5"/>
      <c r="P291" s="5"/>
      <c r="Q291" s="5" t="s">
        <v>1635</v>
      </c>
      <c r="R291" s="5"/>
      <c r="S291" s="5"/>
      <c r="T291" s="5"/>
      <c r="U291" s="5" t="s">
        <v>268</v>
      </c>
      <c r="V291" s="5" t="s">
        <v>269</v>
      </c>
      <c r="W291" s="9">
        <v>45428.7600347222</v>
      </c>
      <c r="X291" s="5"/>
      <c r="Y291" s="5"/>
      <c r="Z291" s="5"/>
      <c r="AA291" s="5"/>
      <c r="AB291" s="5">
        <v>45428.7600347222</v>
      </c>
      <c r="AC291" s="5" t="s">
        <v>269</v>
      </c>
    </row>
    <row r="292" s="1" customFormat="1" ht="17.25" customHeight="1" spans="1:29">
      <c r="A292" s="6" t="s">
        <v>1636</v>
      </c>
      <c r="B292" s="6" t="s">
        <v>389</v>
      </c>
      <c r="C292" s="6" t="s">
        <v>259</v>
      </c>
      <c r="D292" s="6" t="s">
        <v>27</v>
      </c>
      <c r="E292" s="6"/>
      <c r="F292" s="6" t="s">
        <v>389</v>
      </c>
      <c r="G292" s="6" t="s">
        <v>261</v>
      </c>
      <c r="H292" s="6" t="s">
        <v>1637</v>
      </c>
      <c r="I292" s="6" t="s">
        <v>1636</v>
      </c>
      <c r="J292" s="6" t="s">
        <v>338</v>
      </c>
      <c r="K292" s="6" t="s">
        <v>339</v>
      </c>
      <c r="L292" s="6" t="s">
        <v>1638</v>
      </c>
      <c r="M292" s="6"/>
      <c r="N292" s="6" t="s">
        <v>1639</v>
      </c>
      <c r="O292" s="6"/>
      <c r="P292" s="6"/>
      <c r="Q292" s="6" t="s">
        <v>1640</v>
      </c>
      <c r="R292" s="6"/>
      <c r="S292" s="6"/>
      <c r="T292" s="6"/>
      <c r="U292" s="6" t="s">
        <v>268</v>
      </c>
      <c r="V292" s="6" t="s">
        <v>269</v>
      </c>
      <c r="W292" s="10">
        <v>45428.7600347222</v>
      </c>
      <c r="X292" s="6"/>
      <c r="Y292" s="6"/>
      <c r="Z292" s="6"/>
      <c r="AA292" s="6"/>
      <c r="AB292" s="6">
        <v>45428.7600347222</v>
      </c>
      <c r="AC292" s="6" t="s">
        <v>269</v>
      </c>
    </row>
    <row r="293" s="1" customFormat="1" ht="17.25" customHeight="1" spans="1:29">
      <c r="A293" s="5" t="s">
        <v>1641</v>
      </c>
      <c r="B293" s="5" t="s">
        <v>389</v>
      </c>
      <c r="C293" s="5" t="s">
        <v>259</v>
      </c>
      <c r="D293" s="5" t="s">
        <v>27</v>
      </c>
      <c r="E293" s="5"/>
      <c r="F293" s="5" t="s">
        <v>389</v>
      </c>
      <c r="G293" s="5" t="s">
        <v>261</v>
      </c>
      <c r="H293" s="5" t="s">
        <v>1642</v>
      </c>
      <c r="I293" s="5" t="s">
        <v>1641</v>
      </c>
      <c r="J293" s="5" t="s">
        <v>338</v>
      </c>
      <c r="K293" s="5" t="s">
        <v>339</v>
      </c>
      <c r="L293" s="5" t="s">
        <v>1190</v>
      </c>
      <c r="M293" s="5"/>
      <c r="N293" s="5" t="s">
        <v>1643</v>
      </c>
      <c r="O293" s="5"/>
      <c r="P293" s="5"/>
      <c r="Q293" s="5" t="s">
        <v>1644</v>
      </c>
      <c r="R293" s="5"/>
      <c r="S293" s="5"/>
      <c r="T293" s="5"/>
      <c r="U293" s="5" t="s">
        <v>268</v>
      </c>
      <c r="V293" s="5" t="s">
        <v>269</v>
      </c>
      <c r="W293" s="9">
        <v>45428.7600347222</v>
      </c>
      <c r="X293" s="5"/>
      <c r="Y293" s="5"/>
      <c r="Z293" s="5"/>
      <c r="AA293" s="5"/>
      <c r="AB293" s="5">
        <v>45428.7600347222</v>
      </c>
      <c r="AC293" s="5" t="s">
        <v>269</v>
      </c>
    </row>
    <row r="294" s="1" customFormat="1" ht="17.25" customHeight="1" spans="1:29">
      <c r="A294" s="6" t="s">
        <v>1645</v>
      </c>
      <c r="B294" s="6" t="s">
        <v>389</v>
      </c>
      <c r="C294" s="6" t="s">
        <v>259</v>
      </c>
      <c r="D294" s="6" t="s">
        <v>27</v>
      </c>
      <c r="E294" s="6"/>
      <c r="F294" s="6" t="s">
        <v>389</v>
      </c>
      <c r="G294" s="6" t="s">
        <v>261</v>
      </c>
      <c r="H294" s="6" t="s">
        <v>1646</v>
      </c>
      <c r="I294" s="6" t="s">
        <v>1645</v>
      </c>
      <c r="J294" s="6" t="s">
        <v>1647</v>
      </c>
      <c r="K294" s="6" t="s">
        <v>1648</v>
      </c>
      <c r="L294" s="6" t="s">
        <v>1649</v>
      </c>
      <c r="M294" s="6"/>
      <c r="N294" s="6" t="s">
        <v>1650</v>
      </c>
      <c r="O294" s="6"/>
      <c r="P294" s="6"/>
      <c r="Q294" s="6" t="s">
        <v>1651</v>
      </c>
      <c r="R294" s="6"/>
      <c r="S294" s="6"/>
      <c r="T294" s="6"/>
      <c r="U294" s="6" t="s">
        <v>268</v>
      </c>
      <c r="V294" s="6" t="s">
        <v>269</v>
      </c>
      <c r="W294" s="10">
        <v>45428.7600347222</v>
      </c>
      <c r="X294" s="6"/>
      <c r="Y294" s="6"/>
      <c r="Z294" s="6"/>
      <c r="AA294" s="6"/>
      <c r="AB294" s="6">
        <v>45428.7600347222</v>
      </c>
      <c r="AC294" s="6" t="s">
        <v>269</v>
      </c>
    </row>
    <row r="295" s="1" customFormat="1" ht="17.25" customHeight="1" spans="1:29">
      <c r="A295" s="5" t="s">
        <v>1652</v>
      </c>
      <c r="B295" s="5" t="s">
        <v>389</v>
      </c>
      <c r="C295" s="5" t="s">
        <v>259</v>
      </c>
      <c r="D295" s="5" t="s">
        <v>27</v>
      </c>
      <c r="E295" s="5"/>
      <c r="F295" s="5" t="s">
        <v>389</v>
      </c>
      <c r="G295" s="5" t="s">
        <v>261</v>
      </c>
      <c r="H295" s="5" t="s">
        <v>1653</v>
      </c>
      <c r="I295" s="5" t="s">
        <v>1652</v>
      </c>
      <c r="J295" s="5" t="s">
        <v>1647</v>
      </c>
      <c r="K295" s="5" t="s">
        <v>1648</v>
      </c>
      <c r="L295" s="5" t="s">
        <v>1649</v>
      </c>
      <c r="M295" s="5"/>
      <c r="N295" s="5" t="s">
        <v>1654</v>
      </c>
      <c r="O295" s="5"/>
      <c r="P295" s="5"/>
      <c r="Q295" s="5" t="s">
        <v>1651</v>
      </c>
      <c r="R295" s="5"/>
      <c r="S295" s="5"/>
      <c r="T295" s="5"/>
      <c r="U295" s="5" t="s">
        <v>268</v>
      </c>
      <c r="V295" s="5" t="s">
        <v>269</v>
      </c>
      <c r="W295" s="9">
        <v>45428.7600347222</v>
      </c>
      <c r="X295" s="5"/>
      <c r="Y295" s="5"/>
      <c r="Z295" s="5"/>
      <c r="AA295" s="5"/>
      <c r="AB295" s="5">
        <v>45428.7600347222</v>
      </c>
      <c r="AC295" s="5" t="s">
        <v>269</v>
      </c>
    </row>
    <row r="296" s="1" customFormat="1" ht="17.25" customHeight="1" spans="1:29">
      <c r="A296" s="6" t="s">
        <v>1655</v>
      </c>
      <c r="B296" s="6" t="s">
        <v>389</v>
      </c>
      <c r="C296" s="6" t="s">
        <v>259</v>
      </c>
      <c r="D296" s="6" t="s">
        <v>27</v>
      </c>
      <c r="E296" s="6"/>
      <c r="F296" s="6" t="s">
        <v>389</v>
      </c>
      <c r="G296" s="6" t="s">
        <v>261</v>
      </c>
      <c r="H296" s="6" t="s">
        <v>1656</v>
      </c>
      <c r="I296" s="6" t="s">
        <v>1655</v>
      </c>
      <c r="J296" s="6" t="s">
        <v>338</v>
      </c>
      <c r="K296" s="6" t="s">
        <v>339</v>
      </c>
      <c r="L296" s="6" t="s">
        <v>1657</v>
      </c>
      <c r="M296" s="6"/>
      <c r="N296" s="6" t="s">
        <v>1658</v>
      </c>
      <c r="O296" s="6"/>
      <c r="P296" s="6"/>
      <c r="Q296" s="6" t="s">
        <v>1137</v>
      </c>
      <c r="R296" s="6"/>
      <c r="S296" s="6"/>
      <c r="T296" s="6"/>
      <c r="U296" s="6" t="s">
        <v>268</v>
      </c>
      <c r="V296" s="6" t="s">
        <v>269</v>
      </c>
      <c r="W296" s="10">
        <v>45428.7600347222</v>
      </c>
      <c r="X296" s="6"/>
      <c r="Y296" s="6"/>
      <c r="Z296" s="6"/>
      <c r="AA296" s="6"/>
      <c r="AB296" s="6">
        <v>45428.7600347222</v>
      </c>
      <c r="AC296" s="6" t="s">
        <v>269</v>
      </c>
    </row>
    <row r="297" s="1" customFormat="1" ht="17.25" customHeight="1" spans="1:29">
      <c r="A297" s="5" t="s">
        <v>1659</v>
      </c>
      <c r="B297" s="5" t="s">
        <v>389</v>
      </c>
      <c r="C297" s="5" t="s">
        <v>259</v>
      </c>
      <c r="D297" s="5" t="s">
        <v>27</v>
      </c>
      <c r="E297" s="5"/>
      <c r="F297" s="5" t="s">
        <v>389</v>
      </c>
      <c r="G297" s="5" t="s">
        <v>261</v>
      </c>
      <c r="H297" s="5" t="s">
        <v>1660</v>
      </c>
      <c r="I297" s="5" t="s">
        <v>1659</v>
      </c>
      <c r="J297" s="5" t="s">
        <v>338</v>
      </c>
      <c r="K297" s="5" t="s">
        <v>339</v>
      </c>
      <c r="L297" s="5" t="s">
        <v>1661</v>
      </c>
      <c r="M297" s="5"/>
      <c r="N297" s="5" t="s">
        <v>1662</v>
      </c>
      <c r="O297" s="5"/>
      <c r="P297" s="5"/>
      <c r="Q297" s="5" t="s">
        <v>1663</v>
      </c>
      <c r="R297" s="5"/>
      <c r="S297" s="5"/>
      <c r="T297" s="5"/>
      <c r="U297" s="5" t="s">
        <v>268</v>
      </c>
      <c r="V297" s="5" t="s">
        <v>269</v>
      </c>
      <c r="W297" s="9">
        <v>45428.7600347222</v>
      </c>
      <c r="X297" s="5"/>
      <c r="Y297" s="5"/>
      <c r="Z297" s="5"/>
      <c r="AA297" s="5"/>
      <c r="AB297" s="5">
        <v>45428.7600347222</v>
      </c>
      <c r="AC297" s="5" t="s">
        <v>269</v>
      </c>
    </row>
    <row r="298" s="1" customFormat="1" ht="17.25" customHeight="1" spans="1:29">
      <c r="A298" s="6" t="s">
        <v>1664</v>
      </c>
      <c r="B298" s="6" t="s">
        <v>389</v>
      </c>
      <c r="C298" s="6" t="s">
        <v>259</v>
      </c>
      <c r="D298" s="6" t="s">
        <v>27</v>
      </c>
      <c r="E298" s="6"/>
      <c r="F298" s="6" t="s">
        <v>389</v>
      </c>
      <c r="G298" s="6" t="s">
        <v>261</v>
      </c>
      <c r="H298" s="6" t="s">
        <v>1665</v>
      </c>
      <c r="I298" s="6" t="s">
        <v>1664</v>
      </c>
      <c r="J298" s="6" t="s">
        <v>338</v>
      </c>
      <c r="K298" s="6" t="s">
        <v>339</v>
      </c>
      <c r="L298" s="6" t="s">
        <v>393</v>
      </c>
      <c r="M298" s="6"/>
      <c r="N298" s="6" t="s">
        <v>1666</v>
      </c>
      <c r="O298" s="6"/>
      <c r="P298" s="6"/>
      <c r="Q298" s="6" t="s">
        <v>1667</v>
      </c>
      <c r="R298" s="6"/>
      <c r="S298" s="6"/>
      <c r="T298" s="6"/>
      <c r="U298" s="6" t="s">
        <v>268</v>
      </c>
      <c r="V298" s="6" t="s">
        <v>269</v>
      </c>
      <c r="W298" s="10">
        <v>45428.7600347222</v>
      </c>
      <c r="X298" s="6"/>
      <c r="Y298" s="6"/>
      <c r="Z298" s="6"/>
      <c r="AA298" s="6"/>
      <c r="AB298" s="6">
        <v>45428.7600347222</v>
      </c>
      <c r="AC298" s="6" t="s">
        <v>269</v>
      </c>
    </row>
    <row r="299" s="1" customFormat="1" ht="17.25" customHeight="1" spans="1:29">
      <c r="A299" s="5" t="s">
        <v>23</v>
      </c>
      <c r="B299" s="5" t="s">
        <v>389</v>
      </c>
      <c r="C299" s="5" t="s">
        <v>259</v>
      </c>
      <c r="D299" s="5" t="s">
        <v>27</v>
      </c>
      <c r="E299" s="5"/>
      <c r="F299" s="5" t="s">
        <v>389</v>
      </c>
      <c r="G299" s="5" t="s">
        <v>261</v>
      </c>
      <c r="H299" s="5" t="s">
        <v>1668</v>
      </c>
      <c r="I299" s="5" t="s">
        <v>23</v>
      </c>
      <c r="J299" s="5" t="s">
        <v>338</v>
      </c>
      <c r="K299" s="5" t="s">
        <v>339</v>
      </c>
      <c r="L299" s="5" t="s">
        <v>1669</v>
      </c>
      <c r="M299" s="5"/>
      <c r="N299" s="5" t="s">
        <v>1670</v>
      </c>
      <c r="O299" s="5"/>
      <c r="P299" s="5"/>
      <c r="Q299" s="5" t="s">
        <v>1663</v>
      </c>
      <c r="R299" s="5"/>
      <c r="S299" s="5"/>
      <c r="T299" s="5"/>
      <c r="U299" s="5" t="s">
        <v>268</v>
      </c>
      <c r="V299" s="5" t="s">
        <v>269</v>
      </c>
      <c r="W299" s="9">
        <v>45428.7600347222</v>
      </c>
      <c r="X299" s="5"/>
      <c r="Y299" s="5"/>
      <c r="Z299" s="5"/>
      <c r="AA299" s="5"/>
      <c r="AB299" s="5">
        <v>45428.7600347222</v>
      </c>
      <c r="AC299" s="5" t="s">
        <v>269</v>
      </c>
    </row>
    <row r="300" s="1" customFormat="1" ht="17.25" customHeight="1" spans="1:29">
      <c r="A300" s="6" t="s">
        <v>1671</v>
      </c>
      <c r="B300" s="6" t="s">
        <v>389</v>
      </c>
      <c r="C300" s="6" t="s">
        <v>259</v>
      </c>
      <c r="D300" s="6" t="s">
        <v>27</v>
      </c>
      <c r="E300" s="6"/>
      <c r="F300" s="6" t="s">
        <v>389</v>
      </c>
      <c r="G300" s="6" t="s">
        <v>261</v>
      </c>
      <c r="H300" s="6" t="s">
        <v>1672</v>
      </c>
      <c r="I300" s="6" t="s">
        <v>1671</v>
      </c>
      <c r="J300" s="6" t="s">
        <v>338</v>
      </c>
      <c r="K300" s="6" t="s">
        <v>339</v>
      </c>
      <c r="L300" s="6" t="s">
        <v>393</v>
      </c>
      <c r="M300" s="6"/>
      <c r="N300" s="6" t="s">
        <v>1673</v>
      </c>
      <c r="O300" s="6"/>
      <c r="P300" s="6"/>
      <c r="Q300" s="6" t="s">
        <v>1674</v>
      </c>
      <c r="R300" s="6"/>
      <c r="S300" s="6"/>
      <c r="T300" s="6"/>
      <c r="U300" s="6" t="s">
        <v>268</v>
      </c>
      <c r="V300" s="6" t="s">
        <v>269</v>
      </c>
      <c r="W300" s="10">
        <v>45428.7600347222</v>
      </c>
      <c r="X300" s="6"/>
      <c r="Y300" s="6"/>
      <c r="Z300" s="6"/>
      <c r="AA300" s="6"/>
      <c r="AB300" s="6">
        <v>45428.7600347222</v>
      </c>
      <c r="AC300" s="6" t="s">
        <v>269</v>
      </c>
    </row>
    <row r="301" s="1" customFormat="1" ht="17.25" customHeight="1" spans="1:29">
      <c r="A301" s="5" t="s">
        <v>1675</v>
      </c>
      <c r="B301" s="5" t="s">
        <v>389</v>
      </c>
      <c r="C301" s="5" t="s">
        <v>259</v>
      </c>
      <c r="D301" s="5" t="s">
        <v>27</v>
      </c>
      <c r="E301" s="5"/>
      <c r="F301" s="5" t="s">
        <v>389</v>
      </c>
      <c r="G301" s="5" t="s">
        <v>261</v>
      </c>
      <c r="H301" s="5" t="s">
        <v>1676</v>
      </c>
      <c r="I301" s="5" t="s">
        <v>1675</v>
      </c>
      <c r="J301" s="5" t="s">
        <v>530</v>
      </c>
      <c r="K301" s="5" t="s">
        <v>531</v>
      </c>
      <c r="L301" s="5" t="s">
        <v>1677</v>
      </c>
      <c r="M301" s="5"/>
      <c r="N301" s="5" t="s">
        <v>1678</v>
      </c>
      <c r="O301" s="5"/>
      <c r="P301" s="5"/>
      <c r="Q301" s="5" t="s">
        <v>1679</v>
      </c>
      <c r="R301" s="5"/>
      <c r="S301" s="5"/>
      <c r="T301" s="5"/>
      <c r="U301" s="5" t="s">
        <v>268</v>
      </c>
      <c r="V301" s="5" t="s">
        <v>269</v>
      </c>
      <c r="W301" s="9">
        <v>45428.7600347222</v>
      </c>
      <c r="X301" s="5"/>
      <c r="Y301" s="5"/>
      <c r="Z301" s="5"/>
      <c r="AA301" s="5"/>
      <c r="AB301" s="5">
        <v>45428.7600347222</v>
      </c>
      <c r="AC301" s="5" t="s">
        <v>269</v>
      </c>
    </row>
    <row r="302" s="1" customFormat="1" ht="17.25" customHeight="1" spans="1:29">
      <c r="A302" s="6" t="s">
        <v>1680</v>
      </c>
      <c r="B302" s="6" t="s">
        <v>389</v>
      </c>
      <c r="C302" s="6" t="s">
        <v>259</v>
      </c>
      <c r="D302" s="6" t="s">
        <v>27</v>
      </c>
      <c r="E302" s="6"/>
      <c r="F302" s="6" t="s">
        <v>389</v>
      </c>
      <c r="G302" s="6" t="s">
        <v>261</v>
      </c>
      <c r="H302" s="6" t="s">
        <v>1681</v>
      </c>
      <c r="I302" s="6" t="s">
        <v>1680</v>
      </c>
      <c r="J302" s="6" t="s">
        <v>1682</v>
      </c>
      <c r="K302" s="6" t="s">
        <v>1683</v>
      </c>
      <c r="L302" s="6" t="s">
        <v>1684</v>
      </c>
      <c r="M302" s="6"/>
      <c r="N302" s="6" t="s">
        <v>1685</v>
      </c>
      <c r="O302" s="6"/>
      <c r="P302" s="6"/>
      <c r="Q302" s="6" t="s">
        <v>1686</v>
      </c>
      <c r="R302" s="6"/>
      <c r="S302" s="6"/>
      <c r="T302" s="6"/>
      <c r="U302" s="6" t="s">
        <v>268</v>
      </c>
      <c r="V302" s="6" t="s">
        <v>269</v>
      </c>
      <c r="W302" s="10">
        <v>45428.7600347222</v>
      </c>
      <c r="X302" s="6"/>
      <c r="Y302" s="6"/>
      <c r="Z302" s="6"/>
      <c r="AA302" s="6"/>
      <c r="AB302" s="6">
        <v>45428.7600347222</v>
      </c>
      <c r="AC302" s="6" t="s">
        <v>269</v>
      </c>
    </row>
    <row r="303" s="1" customFormat="1" ht="17.25" customHeight="1" spans="1:29">
      <c r="A303" s="5" t="s">
        <v>1687</v>
      </c>
      <c r="B303" s="5" t="s">
        <v>35</v>
      </c>
      <c r="C303" s="5" t="s">
        <v>259</v>
      </c>
      <c r="D303" s="5" t="s">
        <v>838</v>
      </c>
      <c r="E303" s="5"/>
      <c r="F303" s="5" t="s">
        <v>35</v>
      </c>
      <c r="G303" s="5" t="s">
        <v>1688</v>
      </c>
      <c r="H303" s="5" t="s">
        <v>1689</v>
      </c>
      <c r="I303" s="5" t="s">
        <v>1687</v>
      </c>
      <c r="J303" s="5" t="s">
        <v>364</v>
      </c>
      <c r="K303" s="5" t="s">
        <v>365</v>
      </c>
      <c r="L303" s="5" t="s">
        <v>1690</v>
      </c>
      <c r="M303" s="5"/>
      <c r="N303" s="5" t="s">
        <v>1691</v>
      </c>
      <c r="O303" s="5"/>
      <c r="P303" s="5"/>
      <c r="Q303" s="5" t="s">
        <v>1692</v>
      </c>
      <c r="R303" s="5"/>
      <c r="S303" s="5"/>
      <c r="T303" s="5"/>
      <c r="U303" s="5" t="s">
        <v>268</v>
      </c>
      <c r="V303" s="5" t="s">
        <v>270</v>
      </c>
      <c r="W303" s="9">
        <v>45478.4849884259</v>
      </c>
      <c r="X303" s="5"/>
      <c r="Y303" s="5"/>
      <c r="Z303" s="5"/>
      <c r="AA303" s="5"/>
      <c r="AB303" s="5">
        <v>45450.4883680556</v>
      </c>
      <c r="AC303" s="5" t="s">
        <v>269</v>
      </c>
    </row>
    <row r="304" s="1" customFormat="1" ht="17.25" customHeight="1" spans="1:29">
      <c r="A304" s="6" t="s">
        <v>873</v>
      </c>
      <c r="B304" s="6" t="s">
        <v>389</v>
      </c>
      <c r="C304" s="6" t="s">
        <v>259</v>
      </c>
      <c r="D304" s="6" t="s">
        <v>27</v>
      </c>
      <c r="E304" s="6"/>
      <c r="F304" s="6" t="s">
        <v>389</v>
      </c>
      <c r="G304" s="6" t="s">
        <v>261</v>
      </c>
      <c r="H304" s="6" t="s">
        <v>1693</v>
      </c>
      <c r="I304" s="6" t="s">
        <v>873</v>
      </c>
      <c r="J304" s="6" t="s">
        <v>1694</v>
      </c>
      <c r="K304" s="6" t="s">
        <v>379</v>
      </c>
      <c r="L304" s="6" t="s">
        <v>1695</v>
      </c>
      <c r="M304" s="6"/>
      <c r="N304" s="6" t="s">
        <v>1696</v>
      </c>
      <c r="O304" s="6"/>
      <c r="P304" s="6"/>
      <c r="Q304" s="6" t="s">
        <v>875</v>
      </c>
      <c r="R304" s="6"/>
      <c r="S304" s="6"/>
      <c r="T304" s="6"/>
      <c r="U304" s="6" t="s">
        <v>268</v>
      </c>
      <c r="V304" s="6" t="s">
        <v>270</v>
      </c>
      <c r="W304" s="10">
        <v>45475.674537037</v>
      </c>
      <c r="X304" s="6"/>
      <c r="Y304" s="6"/>
      <c r="Z304" s="6"/>
      <c r="AA304" s="6"/>
      <c r="AB304" s="6">
        <v>45475.6731018519</v>
      </c>
      <c r="AC304" s="6" t="s">
        <v>270</v>
      </c>
    </row>
    <row r="305" s="1" customFormat="1" ht="17.25" customHeight="1" spans="1:29">
      <c r="A305" s="5" t="s">
        <v>1697</v>
      </c>
      <c r="B305" s="5" t="s">
        <v>1499</v>
      </c>
      <c r="C305" s="5" t="s">
        <v>259</v>
      </c>
      <c r="D305" s="5" t="s">
        <v>27</v>
      </c>
      <c r="E305" s="5"/>
      <c r="F305" s="5"/>
      <c r="G305" s="5" t="s">
        <v>1082</v>
      </c>
      <c r="H305" s="5" t="s">
        <v>1698</v>
      </c>
      <c r="I305" s="5" t="s">
        <v>1699</v>
      </c>
      <c r="J305" s="5"/>
      <c r="K305" s="5"/>
      <c r="L305" s="5"/>
      <c r="M305" s="5"/>
      <c r="N305" s="5"/>
      <c r="O305" s="5"/>
      <c r="P305" s="5"/>
      <c r="Q305" s="5" t="s">
        <v>1700</v>
      </c>
      <c r="R305" s="5"/>
      <c r="S305" s="5"/>
      <c r="T305" s="5"/>
      <c r="U305" s="5" t="s">
        <v>1701</v>
      </c>
      <c r="V305" s="5" t="s">
        <v>836</v>
      </c>
      <c r="W305" s="9">
        <v>45534.3892708333</v>
      </c>
      <c r="X305" s="5"/>
      <c r="Y305" s="5"/>
      <c r="Z305" s="5"/>
      <c r="AA305" s="5"/>
      <c r="AB305" s="5">
        <v>45534.3892708333</v>
      </c>
      <c r="AC305" s="5" t="s">
        <v>836</v>
      </c>
    </row>
    <row r="306" s="1" customFormat="1" ht="17.25" customHeight="1" spans="1:29">
      <c r="A306" s="6" t="s">
        <v>1702</v>
      </c>
      <c r="B306" s="6" t="s">
        <v>389</v>
      </c>
      <c r="C306" s="6" t="s">
        <v>259</v>
      </c>
      <c r="D306" s="6" t="s">
        <v>27</v>
      </c>
      <c r="E306" s="6"/>
      <c r="F306" s="6" t="s">
        <v>389</v>
      </c>
      <c r="G306" s="6" t="s">
        <v>261</v>
      </c>
      <c r="H306" s="6" t="s">
        <v>1703</v>
      </c>
      <c r="I306" s="6" t="s">
        <v>1702</v>
      </c>
      <c r="J306" s="6" t="s">
        <v>338</v>
      </c>
      <c r="K306" s="6" t="s">
        <v>339</v>
      </c>
      <c r="L306" s="6" t="s">
        <v>1704</v>
      </c>
      <c r="M306" s="6"/>
      <c r="N306" s="6" t="s">
        <v>1705</v>
      </c>
      <c r="O306" s="6"/>
      <c r="P306" s="6"/>
      <c r="Q306" s="6" t="s">
        <v>1137</v>
      </c>
      <c r="R306" s="6"/>
      <c r="S306" s="6"/>
      <c r="T306" s="6"/>
      <c r="U306" s="6"/>
      <c r="V306" s="6" t="s">
        <v>270</v>
      </c>
      <c r="W306" s="10">
        <v>45562.9069675926</v>
      </c>
      <c r="X306" s="6"/>
      <c r="Y306" s="6"/>
      <c r="Z306" s="6"/>
      <c r="AA306" s="6"/>
      <c r="AB306" s="6">
        <v>45562.6815046296</v>
      </c>
      <c r="AC306" s="6" t="s">
        <v>270</v>
      </c>
    </row>
    <row r="307" s="1" customFormat="1" ht="17.25" customHeight="1" spans="1:29">
      <c r="A307" s="5" t="s">
        <v>1706</v>
      </c>
      <c r="B307" s="5" t="s">
        <v>1707</v>
      </c>
      <c r="C307" s="5" t="s">
        <v>259</v>
      </c>
      <c r="D307" s="5" t="s">
        <v>1487</v>
      </c>
      <c r="E307" s="5"/>
      <c r="F307" s="5" t="s">
        <v>1707</v>
      </c>
      <c r="G307" s="5" t="s">
        <v>261</v>
      </c>
      <c r="H307" s="5" t="s">
        <v>1708</v>
      </c>
      <c r="I307" s="5" t="s">
        <v>1706</v>
      </c>
      <c r="J307" s="5" t="s">
        <v>338</v>
      </c>
      <c r="K307" s="5" t="s">
        <v>339</v>
      </c>
      <c r="L307" s="5" t="s">
        <v>1489</v>
      </c>
      <c r="M307" s="5"/>
      <c r="N307" s="5" t="s">
        <v>1709</v>
      </c>
      <c r="O307" s="5"/>
      <c r="P307" s="5"/>
      <c r="Q307" s="5" t="s">
        <v>716</v>
      </c>
      <c r="R307" s="5"/>
      <c r="S307" s="5"/>
      <c r="T307" s="5"/>
      <c r="U307" s="5"/>
      <c r="V307" s="5" t="s">
        <v>270</v>
      </c>
      <c r="W307" s="9">
        <v>45587.7055092593</v>
      </c>
      <c r="X307" s="5"/>
      <c r="Y307" s="5"/>
      <c r="Z307" s="5"/>
      <c r="AA307" s="5"/>
      <c r="AB307" s="5">
        <v>45587.7055092593</v>
      </c>
      <c r="AC307" s="5" t="s">
        <v>270</v>
      </c>
    </row>
    <row r="308" s="1" customFormat="1" ht="17.25" customHeight="1" spans="1:29">
      <c r="A308" s="6" t="s">
        <v>1710</v>
      </c>
      <c r="B308" s="6" t="s">
        <v>258</v>
      </c>
      <c r="C308" s="6" t="s">
        <v>259</v>
      </c>
      <c r="D308" s="6" t="s">
        <v>260</v>
      </c>
      <c r="E308" s="6"/>
      <c r="F308" s="6" t="s">
        <v>258</v>
      </c>
      <c r="G308" s="6" t="s">
        <v>261</v>
      </c>
      <c r="H308" s="6" t="s">
        <v>1711</v>
      </c>
      <c r="I308" s="6" t="s">
        <v>1710</v>
      </c>
      <c r="J308" s="6" t="s">
        <v>297</v>
      </c>
      <c r="K308" s="6" t="s">
        <v>298</v>
      </c>
      <c r="L308" s="6" t="s">
        <v>1426</v>
      </c>
      <c r="M308" s="6"/>
      <c r="N308" s="6" t="s">
        <v>1712</v>
      </c>
      <c r="O308" s="6"/>
      <c r="P308" s="6"/>
      <c r="Q308" s="6" t="s">
        <v>1436</v>
      </c>
      <c r="R308" s="6"/>
      <c r="S308" s="6"/>
      <c r="T308" s="6"/>
      <c r="U308" s="6" t="s">
        <v>268</v>
      </c>
      <c r="V308" s="6" t="s">
        <v>270</v>
      </c>
      <c r="W308" s="10">
        <v>45448.6007986111</v>
      </c>
      <c r="X308" s="6"/>
      <c r="Y308" s="6"/>
      <c r="Z308" s="6"/>
      <c r="AA308" s="6"/>
      <c r="AB308" s="6">
        <v>45448.5965509259</v>
      </c>
      <c r="AC308" s="6" t="s">
        <v>270</v>
      </c>
    </row>
    <row r="309" s="1" customFormat="1" ht="17.25" customHeight="1" spans="1:29">
      <c r="A309" s="5" t="s">
        <v>1713</v>
      </c>
      <c r="B309" s="5" t="s">
        <v>389</v>
      </c>
      <c r="C309" s="5" t="s">
        <v>259</v>
      </c>
      <c r="D309" s="5" t="s">
        <v>27</v>
      </c>
      <c r="E309" s="5"/>
      <c r="F309" s="5" t="s">
        <v>389</v>
      </c>
      <c r="G309" s="5" t="s">
        <v>261</v>
      </c>
      <c r="H309" s="5" t="s">
        <v>1714</v>
      </c>
      <c r="I309" s="5" t="s">
        <v>1713</v>
      </c>
      <c r="J309" s="5" t="s">
        <v>338</v>
      </c>
      <c r="K309" s="5" t="s">
        <v>339</v>
      </c>
      <c r="L309" s="5" t="s">
        <v>393</v>
      </c>
      <c r="M309" s="5"/>
      <c r="N309" s="5" t="s">
        <v>1715</v>
      </c>
      <c r="O309" s="5"/>
      <c r="P309" s="5"/>
      <c r="Q309" s="5" t="s">
        <v>1716</v>
      </c>
      <c r="R309" s="5"/>
      <c r="S309" s="5"/>
      <c r="T309" s="5"/>
      <c r="U309" s="5"/>
      <c r="V309" s="5" t="s">
        <v>270</v>
      </c>
      <c r="W309" s="9">
        <v>45586.7522569444</v>
      </c>
      <c r="X309" s="5"/>
      <c r="Y309" s="5"/>
      <c r="Z309" s="5"/>
      <c r="AA309" s="5"/>
      <c r="AB309" s="5">
        <v>45586.7522569444</v>
      </c>
      <c r="AC309" s="5" t="s">
        <v>270</v>
      </c>
    </row>
    <row r="310" s="1" customFormat="1" ht="17.25" customHeight="1" spans="1:29">
      <c r="A310" s="5" t="s">
        <v>1717</v>
      </c>
      <c r="B310" s="5" t="s">
        <v>389</v>
      </c>
      <c r="C310" s="5" t="s">
        <v>259</v>
      </c>
      <c r="D310" s="5" t="s">
        <v>27</v>
      </c>
      <c r="E310" s="5"/>
      <c r="F310" s="5" t="s">
        <v>389</v>
      </c>
      <c r="G310" s="5" t="s">
        <v>261</v>
      </c>
      <c r="H310" s="5" t="s">
        <v>1718</v>
      </c>
      <c r="I310" s="5" t="s">
        <v>1717</v>
      </c>
      <c r="J310" s="5" t="s">
        <v>654</v>
      </c>
      <c r="K310" s="5" t="s">
        <v>655</v>
      </c>
      <c r="L310" s="5" t="s">
        <v>669</v>
      </c>
      <c r="M310" s="5"/>
      <c r="N310" s="5" t="s">
        <v>1719</v>
      </c>
      <c r="O310" s="5"/>
      <c r="P310" s="5"/>
      <c r="Q310" s="5" t="s">
        <v>671</v>
      </c>
      <c r="R310" s="5"/>
      <c r="S310" s="5"/>
      <c r="T310" s="5"/>
      <c r="U310" s="5" t="s">
        <v>268</v>
      </c>
      <c r="V310" s="5" t="s">
        <v>269</v>
      </c>
      <c r="W310" s="9">
        <v>45428.7600347222</v>
      </c>
      <c r="X310" s="5"/>
      <c r="Y310" s="5"/>
      <c r="Z310" s="5"/>
      <c r="AA310" s="5"/>
      <c r="AB310" s="5">
        <v>45428.7600347222</v>
      </c>
      <c r="AC310" s="5" t="s">
        <v>269</v>
      </c>
    </row>
    <row r="311" s="1" customFormat="1" ht="17.25" customHeight="1" spans="1:29">
      <c r="A311" s="6" t="s">
        <v>1720</v>
      </c>
      <c r="B311" s="6" t="s">
        <v>389</v>
      </c>
      <c r="C311" s="6" t="s">
        <v>259</v>
      </c>
      <c r="D311" s="6" t="s">
        <v>27</v>
      </c>
      <c r="E311" s="6"/>
      <c r="F311" s="6" t="s">
        <v>389</v>
      </c>
      <c r="G311" s="6" t="s">
        <v>261</v>
      </c>
      <c r="H311" s="6" t="s">
        <v>1721</v>
      </c>
      <c r="I311" s="6" t="s">
        <v>1720</v>
      </c>
      <c r="J311" s="6" t="s">
        <v>290</v>
      </c>
      <c r="K311" s="6" t="s">
        <v>291</v>
      </c>
      <c r="L311" s="6" t="s">
        <v>1722</v>
      </c>
      <c r="M311" s="6"/>
      <c r="N311" s="6" t="s">
        <v>1723</v>
      </c>
      <c r="O311" s="6"/>
      <c r="P311" s="6"/>
      <c r="Q311" s="6" t="s">
        <v>1724</v>
      </c>
      <c r="R311" s="6"/>
      <c r="S311" s="6"/>
      <c r="T311" s="6"/>
      <c r="U311" s="6" t="s">
        <v>268</v>
      </c>
      <c r="V311" s="6" t="s">
        <v>269</v>
      </c>
      <c r="W311" s="10">
        <v>45428.7600347222</v>
      </c>
      <c r="X311" s="6"/>
      <c r="Y311" s="6"/>
      <c r="Z311" s="6"/>
      <c r="AA311" s="6"/>
      <c r="AB311" s="6">
        <v>45428.7600347222</v>
      </c>
      <c r="AC311" s="6" t="s">
        <v>269</v>
      </c>
    </row>
    <row r="312" s="1" customFormat="1" ht="17.25" customHeight="1" spans="1:29">
      <c r="A312" s="5" t="s">
        <v>1725</v>
      </c>
      <c r="B312" s="5" t="s">
        <v>389</v>
      </c>
      <c r="C312" s="5" t="s">
        <v>259</v>
      </c>
      <c r="D312" s="5" t="s">
        <v>27</v>
      </c>
      <c r="E312" s="5"/>
      <c r="F312" s="5" t="s">
        <v>389</v>
      </c>
      <c r="G312" s="5" t="s">
        <v>261</v>
      </c>
      <c r="H312" s="5" t="s">
        <v>1726</v>
      </c>
      <c r="I312" s="5" t="s">
        <v>1725</v>
      </c>
      <c r="J312" s="5" t="s">
        <v>297</v>
      </c>
      <c r="K312" s="5" t="s">
        <v>298</v>
      </c>
      <c r="L312" s="5" t="s">
        <v>1434</v>
      </c>
      <c r="M312" s="5"/>
      <c r="N312" s="5" t="s">
        <v>1727</v>
      </c>
      <c r="O312" s="5"/>
      <c r="P312" s="5"/>
      <c r="Q312" s="5" t="s">
        <v>1436</v>
      </c>
      <c r="R312" s="5"/>
      <c r="S312" s="5"/>
      <c r="T312" s="5"/>
      <c r="U312" s="5" t="s">
        <v>268</v>
      </c>
      <c r="V312" s="5" t="s">
        <v>269</v>
      </c>
      <c r="W312" s="9">
        <v>45428.7600347222</v>
      </c>
      <c r="X312" s="5"/>
      <c r="Y312" s="5"/>
      <c r="Z312" s="5"/>
      <c r="AA312" s="5"/>
      <c r="AB312" s="5">
        <v>45428.7600347222</v>
      </c>
      <c r="AC312" s="5" t="s">
        <v>269</v>
      </c>
    </row>
    <row r="313" s="1" customFormat="1" ht="17.25" customHeight="1" spans="1:29">
      <c r="A313" s="6" t="s">
        <v>1728</v>
      </c>
      <c r="B313" s="6" t="s">
        <v>389</v>
      </c>
      <c r="C313" s="6" t="s">
        <v>259</v>
      </c>
      <c r="D313" s="6" t="s">
        <v>27</v>
      </c>
      <c r="E313" s="6"/>
      <c r="F313" s="6" t="s">
        <v>389</v>
      </c>
      <c r="G313" s="6" t="s">
        <v>261</v>
      </c>
      <c r="H313" s="6" t="s">
        <v>1729</v>
      </c>
      <c r="I313" s="6" t="s">
        <v>1728</v>
      </c>
      <c r="J313" s="6" t="s">
        <v>338</v>
      </c>
      <c r="K313" s="6" t="s">
        <v>339</v>
      </c>
      <c r="L313" s="6" t="s">
        <v>1730</v>
      </c>
      <c r="M313" s="6"/>
      <c r="N313" s="6" t="s">
        <v>1731</v>
      </c>
      <c r="O313" s="6"/>
      <c r="P313" s="6"/>
      <c r="Q313" s="6" t="s">
        <v>1667</v>
      </c>
      <c r="R313" s="6"/>
      <c r="S313" s="6"/>
      <c r="T313" s="6"/>
      <c r="U313" s="6" t="s">
        <v>268</v>
      </c>
      <c r="V313" s="6" t="s">
        <v>269</v>
      </c>
      <c r="W313" s="10">
        <v>45428.7600347222</v>
      </c>
      <c r="X313" s="6"/>
      <c r="Y313" s="6"/>
      <c r="Z313" s="6"/>
      <c r="AA313" s="6"/>
      <c r="AB313" s="6">
        <v>45428.7600347222</v>
      </c>
      <c r="AC313" s="6" t="s">
        <v>269</v>
      </c>
    </row>
    <row r="314" s="1" customFormat="1" ht="17.25" customHeight="1" spans="1:29">
      <c r="A314" s="5" t="s">
        <v>1732</v>
      </c>
      <c r="B314" s="5" t="s">
        <v>389</v>
      </c>
      <c r="C314" s="5" t="s">
        <v>259</v>
      </c>
      <c r="D314" s="5" t="s">
        <v>27</v>
      </c>
      <c r="E314" s="5"/>
      <c r="F314" s="5" t="s">
        <v>389</v>
      </c>
      <c r="G314" s="5" t="s">
        <v>261</v>
      </c>
      <c r="H314" s="5" t="s">
        <v>1733</v>
      </c>
      <c r="I314" s="5" t="s">
        <v>1732</v>
      </c>
      <c r="J314" s="5" t="s">
        <v>338</v>
      </c>
      <c r="K314" s="5" t="s">
        <v>339</v>
      </c>
      <c r="L314" s="5" t="s">
        <v>1734</v>
      </c>
      <c r="M314" s="5"/>
      <c r="N314" s="5" t="s">
        <v>1735</v>
      </c>
      <c r="O314" s="5"/>
      <c r="P314" s="5"/>
      <c r="Q314" s="5" t="s">
        <v>1736</v>
      </c>
      <c r="R314" s="5"/>
      <c r="S314" s="5"/>
      <c r="T314" s="5"/>
      <c r="U314" s="5" t="s">
        <v>268</v>
      </c>
      <c r="V314" s="5" t="s">
        <v>269</v>
      </c>
      <c r="W314" s="9">
        <v>45428.7600347222</v>
      </c>
      <c r="X314" s="5"/>
      <c r="Y314" s="5"/>
      <c r="Z314" s="5"/>
      <c r="AA314" s="5"/>
      <c r="AB314" s="5">
        <v>45428.7600347222</v>
      </c>
      <c r="AC314" s="5" t="s">
        <v>269</v>
      </c>
    </row>
    <row r="315" s="1" customFormat="1" ht="17.25" customHeight="1" spans="1:29">
      <c r="A315" s="6" t="s">
        <v>1737</v>
      </c>
      <c r="B315" s="6" t="s">
        <v>389</v>
      </c>
      <c r="C315" s="6" t="s">
        <v>259</v>
      </c>
      <c r="D315" s="6" t="s">
        <v>27</v>
      </c>
      <c r="E315" s="6"/>
      <c r="F315" s="6" t="s">
        <v>389</v>
      </c>
      <c r="G315" s="6" t="s">
        <v>261</v>
      </c>
      <c r="H315" s="6" t="s">
        <v>1738</v>
      </c>
      <c r="I315" s="6" t="s">
        <v>1737</v>
      </c>
      <c r="J315" s="6" t="s">
        <v>338</v>
      </c>
      <c r="K315" s="6" t="s">
        <v>339</v>
      </c>
      <c r="L315" s="6" t="s">
        <v>1739</v>
      </c>
      <c r="M315" s="6"/>
      <c r="N315" s="6" t="s">
        <v>1740</v>
      </c>
      <c r="O315" s="6"/>
      <c r="P315" s="6"/>
      <c r="Q315" s="6" t="s">
        <v>1741</v>
      </c>
      <c r="R315" s="6"/>
      <c r="S315" s="6"/>
      <c r="T315" s="6"/>
      <c r="U315" s="6" t="s">
        <v>268</v>
      </c>
      <c r="V315" s="6" t="s">
        <v>269</v>
      </c>
      <c r="W315" s="10">
        <v>45428.7600347222</v>
      </c>
      <c r="X315" s="6"/>
      <c r="Y315" s="6"/>
      <c r="Z315" s="6"/>
      <c r="AA315" s="6"/>
      <c r="AB315" s="6">
        <v>45428.7600347222</v>
      </c>
      <c r="AC315" s="6" t="s">
        <v>269</v>
      </c>
    </row>
    <row r="316" s="1" customFormat="1" ht="17.25" customHeight="1" spans="1:29">
      <c r="A316" s="5" t="s">
        <v>1742</v>
      </c>
      <c r="B316" s="5" t="s">
        <v>389</v>
      </c>
      <c r="C316" s="5" t="s">
        <v>259</v>
      </c>
      <c r="D316" s="5" t="s">
        <v>27</v>
      </c>
      <c r="E316" s="5"/>
      <c r="F316" s="5" t="s">
        <v>389</v>
      </c>
      <c r="G316" s="5" t="s">
        <v>261</v>
      </c>
      <c r="H316" s="5" t="s">
        <v>1743</v>
      </c>
      <c r="I316" s="5" t="s">
        <v>1742</v>
      </c>
      <c r="J316" s="5" t="s">
        <v>338</v>
      </c>
      <c r="K316" s="5" t="s">
        <v>339</v>
      </c>
      <c r="L316" s="5" t="s">
        <v>1739</v>
      </c>
      <c r="M316" s="5"/>
      <c r="N316" s="5" t="s">
        <v>1744</v>
      </c>
      <c r="O316" s="5"/>
      <c r="P316" s="5"/>
      <c r="Q316" s="5" t="s">
        <v>1741</v>
      </c>
      <c r="R316" s="5"/>
      <c r="S316" s="5"/>
      <c r="T316" s="5"/>
      <c r="U316" s="5" t="s">
        <v>268</v>
      </c>
      <c r="V316" s="5" t="s">
        <v>269</v>
      </c>
      <c r="W316" s="9">
        <v>45428.7600347222</v>
      </c>
      <c r="X316" s="5"/>
      <c r="Y316" s="5"/>
      <c r="Z316" s="5"/>
      <c r="AA316" s="5"/>
      <c r="AB316" s="5">
        <v>45428.7600347222</v>
      </c>
      <c r="AC316" s="5" t="s">
        <v>269</v>
      </c>
    </row>
    <row r="317" s="1" customFormat="1" ht="17.25" customHeight="1" spans="1:29">
      <c r="A317" s="6" t="s">
        <v>1745</v>
      </c>
      <c r="B317" s="6" t="s">
        <v>389</v>
      </c>
      <c r="C317" s="6" t="s">
        <v>259</v>
      </c>
      <c r="D317" s="6" t="s">
        <v>27</v>
      </c>
      <c r="E317" s="6"/>
      <c r="F317" s="6" t="s">
        <v>389</v>
      </c>
      <c r="G317" s="6" t="s">
        <v>261</v>
      </c>
      <c r="H317" s="6" t="s">
        <v>1746</v>
      </c>
      <c r="I317" s="6" t="s">
        <v>1745</v>
      </c>
      <c r="J317" s="6" t="s">
        <v>338</v>
      </c>
      <c r="K317" s="6" t="s">
        <v>339</v>
      </c>
      <c r="L317" s="6" t="s">
        <v>1747</v>
      </c>
      <c r="M317" s="6"/>
      <c r="N317" s="6" t="s">
        <v>1748</v>
      </c>
      <c r="O317" s="6"/>
      <c r="P317" s="6"/>
      <c r="Q317" s="6" t="s">
        <v>1335</v>
      </c>
      <c r="R317" s="6"/>
      <c r="S317" s="6"/>
      <c r="T317" s="6"/>
      <c r="U317" s="6" t="s">
        <v>268</v>
      </c>
      <c r="V317" s="6" t="s">
        <v>269</v>
      </c>
      <c r="W317" s="10">
        <v>45428.7600347222</v>
      </c>
      <c r="X317" s="6"/>
      <c r="Y317" s="6"/>
      <c r="Z317" s="6"/>
      <c r="AA317" s="6"/>
      <c r="AB317" s="6">
        <v>45428.7600347222</v>
      </c>
      <c r="AC317" s="6" t="s">
        <v>269</v>
      </c>
    </row>
    <row r="318" s="1" customFormat="1" ht="17.25" customHeight="1" spans="1:29">
      <c r="A318" s="5" t="s">
        <v>1749</v>
      </c>
      <c r="B318" s="5" t="s">
        <v>389</v>
      </c>
      <c r="C318" s="5" t="s">
        <v>259</v>
      </c>
      <c r="D318" s="5" t="s">
        <v>27</v>
      </c>
      <c r="E318" s="5"/>
      <c r="F318" s="5" t="s">
        <v>389</v>
      </c>
      <c r="G318" s="5" t="s">
        <v>261</v>
      </c>
      <c r="H318" s="5" t="s">
        <v>1750</v>
      </c>
      <c r="I318" s="5" t="s">
        <v>1749</v>
      </c>
      <c r="J318" s="5" t="s">
        <v>1682</v>
      </c>
      <c r="K318" s="5" t="s">
        <v>1683</v>
      </c>
      <c r="L318" s="5" t="s">
        <v>1751</v>
      </c>
      <c r="M318" s="5"/>
      <c r="N318" s="5" t="s">
        <v>1752</v>
      </c>
      <c r="O318" s="5"/>
      <c r="P318" s="5"/>
      <c r="Q318" s="5" t="s">
        <v>1753</v>
      </c>
      <c r="R318" s="5"/>
      <c r="S318" s="5"/>
      <c r="T318" s="5"/>
      <c r="U318" s="5" t="s">
        <v>268</v>
      </c>
      <c r="V318" s="5" t="s">
        <v>269</v>
      </c>
      <c r="W318" s="9">
        <v>45428.7600347222</v>
      </c>
      <c r="X318" s="5"/>
      <c r="Y318" s="5"/>
      <c r="Z318" s="5"/>
      <c r="AA318" s="5"/>
      <c r="AB318" s="5">
        <v>45428.7600347222</v>
      </c>
      <c r="AC318" s="5" t="s">
        <v>269</v>
      </c>
    </row>
    <row r="319" s="1" customFormat="1" ht="17.25" customHeight="1" spans="1:29">
      <c r="A319" s="6" t="s">
        <v>1754</v>
      </c>
      <c r="B319" s="6" t="s">
        <v>389</v>
      </c>
      <c r="C319" s="6" t="s">
        <v>259</v>
      </c>
      <c r="D319" s="6" t="s">
        <v>27</v>
      </c>
      <c r="E319" s="6"/>
      <c r="F319" s="6" t="s">
        <v>389</v>
      </c>
      <c r="G319" s="6" t="s">
        <v>261</v>
      </c>
      <c r="H319" s="6" t="s">
        <v>1755</v>
      </c>
      <c r="I319" s="6" t="s">
        <v>1754</v>
      </c>
      <c r="J319" s="6" t="s">
        <v>338</v>
      </c>
      <c r="K319" s="6" t="s">
        <v>339</v>
      </c>
      <c r="L319" s="6" t="s">
        <v>1756</v>
      </c>
      <c r="M319" s="6"/>
      <c r="N319" s="6" t="s">
        <v>1757</v>
      </c>
      <c r="O319" s="6"/>
      <c r="P319" s="6"/>
      <c r="Q319" s="6" t="s">
        <v>1758</v>
      </c>
      <c r="R319" s="6"/>
      <c r="S319" s="6"/>
      <c r="T319" s="6"/>
      <c r="U319" s="6" t="s">
        <v>268</v>
      </c>
      <c r="V319" s="6" t="s">
        <v>269</v>
      </c>
      <c r="W319" s="10">
        <v>45428.7600347222</v>
      </c>
      <c r="X319" s="6"/>
      <c r="Y319" s="6"/>
      <c r="Z319" s="6"/>
      <c r="AA319" s="6"/>
      <c r="AB319" s="6">
        <v>45428.7600347222</v>
      </c>
      <c r="AC319" s="6" t="s">
        <v>269</v>
      </c>
    </row>
    <row r="320" s="1" customFormat="1" ht="17.25" customHeight="1" spans="1:29">
      <c r="A320" s="5" t="s">
        <v>1759</v>
      </c>
      <c r="B320" s="5" t="s">
        <v>389</v>
      </c>
      <c r="C320" s="5" t="s">
        <v>259</v>
      </c>
      <c r="D320" s="5" t="s">
        <v>27</v>
      </c>
      <c r="E320" s="5"/>
      <c r="F320" s="5" t="s">
        <v>389</v>
      </c>
      <c r="G320" s="5" t="s">
        <v>261</v>
      </c>
      <c r="H320" s="5" t="s">
        <v>1760</v>
      </c>
      <c r="I320" s="5" t="s">
        <v>1759</v>
      </c>
      <c r="J320" s="5" t="s">
        <v>324</v>
      </c>
      <c r="K320" s="5" t="s">
        <v>325</v>
      </c>
      <c r="L320" s="5" t="s">
        <v>1761</v>
      </c>
      <c r="M320" s="5"/>
      <c r="N320" s="5" t="s">
        <v>1762</v>
      </c>
      <c r="O320" s="5"/>
      <c r="P320" s="5"/>
      <c r="Q320" s="5" t="s">
        <v>1763</v>
      </c>
      <c r="R320" s="5"/>
      <c r="S320" s="5"/>
      <c r="T320" s="5"/>
      <c r="U320" s="5" t="s">
        <v>268</v>
      </c>
      <c r="V320" s="5" t="s">
        <v>269</v>
      </c>
      <c r="W320" s="9">
        <v>45428.7600347222</v>
      </c>
      <c r="X320" s="5"/>
      <c r="Y320" s="5"/>
      <c r="Z320" s="5"/>
      <c r="AA320" s="5"/>
      <c r="AB320" s="5">
        <v>45428.7600347222</v>
      </c>
      <c r="AC320" s="5" t="s">
        <v>269</v>
      </c>
    </row>
    <row r="321" s="1" customFormat="1" ht="17.25" customHeight="1" spans="1:29">
      <c r="A321" s="6" t="s">
        <v>1764</v>
      </c>
      <c r="B321" s="6" t="s">
        <v>389</v>
      </c>
      <c r="C321" s="6" t="s">
        <v>259</v>
      </c>
      <c r="D321" s="6" t="s">
        <v>27</v>
      </c>
      <c r="E321" s="6"/>
      <c r="F321" s="6" t="s">
        <v>389</v>
      </c>
      <c r="G321" s="6" t="s">
        <v>261</v>
      </c>
      <c r="H321" s="6" t="s">
        <v>1765</v>
      </c>
      <c r="I321" s="6" t="s">
        <v>1764</v>
      </c>
      <c r="J321" s="6" t="s">
        <v>350</v>
      </c>
      <c r="K321" s="6" t="s">
        <v>351</v>
      </c>
      <c r="L321" s="6" t="s">
        <v>1766</v>
      </c>
      <c r="M321" s="6"/>
      <c r="N321" s="6" t="s">
        <v>1767</v>
      </c>
      <c r="O321" s="6"/>
      <c r="P321" s="6"/>
      <c r="Q321" s="6" t="s">
        <v>1768</v>
      </c>
      <c r="R321" s="6"/>
      <c r="S321" s="6"/>
      <c r="T321" s="6"/>
      <c r="U321" s="6" t="s">
        <v>268</v>
      </c>
      <c r="V321" s="6" t="s">
        <v>269</v>
      </c>
      <c r="W321" s="10">
        <v>45428.7600347222</v>
      </c>
      <c r="X321" s="6"/>
      <c r="Y321" s="6"/>
      <c r="Z321" s="6"/>
      <c r="AA321" s="6"/>
      <c r="AB321" s="6">
        <v>45428.7600347222</v>
      </c>
      <c r="AC321" s="6" t="s">
        <v>269</v>
      </c>
    </row>
    <row r="322" s="1" customFormat="1" ht="17.25" customHeight="1" spans="1:29">
      <c r="A322" s="5" t="s">
        <v>1769</v>
      </c>
      <c r="B322" s="5" t="s">
        <v>389</v>
      </c>
      <c r="C322" s="5" t="s">
        <v>259</v>
      </c>
      <c r="D322" s="5" t="s">
        <v>27</v>
      </c>
      <c r="E322" s="5"/>
      <c r="F322" s="5" t="s">
        <v>389</v>
      </c>
      <c r="G322" s="5" t="s">
        <v>261</v>
      </c>
      <c r="H322" s="5" t="s">
        <v>1770</v>
      </c>
      <c r="I322" s="5" t="s">
        <v>1769</v>
      </c>
      <c r="J322" s="5" t="s">
        <v>350</v>
      </c>
      <c r="K322" s="5" t="s">
        <v>351</v>
      </c>
      <c r="L322" s="5" t="s">
        <v>1771</v>
      </c>
      <c r="M322" s="5"/>
      <c r="N322" s="5" t="s">
        <v>1772</v>
      </c>
      <c r="O322" s="5"/>
      <c r="P322" s="5"/>
      <c r="Q322" s="5" t="s">
        <v>1773</v>
      </c>
      <c r="R322" s="5"/>
      <c r="S322" s="5"/>
      <c r="T322" s="5"/>
      <c r="U322" s="5" t="s">
        <v>268</v>
      </c>
      <c r="V322" s="5" t="s">
        <v>269</v>
      </c>
      <c r="W322" s="9">
        <v>45428.7600347222</v>
      </c>
      <c r="X322" s="5"/>
      <c r="Y322" s="5"/>
      <c r="Z322" s="5"/>
      <c r="AA322" s="5"/>
      <c r="AB322" s="5">
        <v>45428.7600347222</v>
      </c>
      <c r="AC322" s="5" t="s">
        <v>269</v>
      </c>
    </row>
    <row r="323" s="1" customFormat="1" ht="17.25" customHeight="1" spans="1:29">
      <c r="A323" s="6" t="s">
        <v>1774</v>
      </c>
      <c r="B323" s="6" t="s">
        <v>389</v>
      </c>
      <c r="C323" s="6" t="s">
        <v>259</v>
      </c>
      <c r="D323" s="6" t="s">
        <v>27</v>
      </c>
      <c r="E323" s="6"/>
      <c r="F323" s="6" t="s">
        <v>389</v>
      </c>
      <c r="G323" s="6" t="s">
        <v>261</v>
      </c>
      <c r="H323" s="6" t="s">
        <v>1775</v>
      </c>
      <c r="I323" s="6" t="s">
        <v>1774</v>
      </c>
      <c r="J323" s="6" t="s">
        <v>378</v>
      </c>
      <c r="K323" s="6" t="s">
        <v>379</v>
      </c>
      <c r="L323" s="6" t="s">
        <v>966</v>
      </c>
      <c r="M323" s="6"/>
      <c r="N323" s="6" t="s">
        <v>1776</v>
      </c>
      <c r="O323" s="6"/>
      <c r="P323" s="6"/>
      <c r="Q323" s="6" t="s">
        <v>968</v>
      </c>
      <c r="R323" s="6"/>
      <c r="S323" s="6"/>
      <c r="T323" s="6"/>
      <c r="U323" s="6" t="s">
        <v>268</v>
      </c>
      <c r="V323" s="6" t="s">
        <v>269</v>
      </c>
      <c r="W323" s="10">
        <v>45428.7600347222</v>
      </c>
      <c r="X323" s="6"/>
      <c r="Y323" s="6"/>
      <c r="Z323" s="6"/>
      <c r="AA323" s="6"/>
      <c r="AB323" s="6">
        <v>45428.7600347222</v>
      </c>
      <c r="AC323" s="6" t="s">
        <v>269</v>
      </c>
    </row>
    <row r="324" s="1" customFormat="1" ht="17.25" customHeight="1" spans="1:29">
      <c r="A324" s="5" t="s">
        <v>1777</v>
      </c>
      <c r="B324" s="5" t="s">
        <v>389</v>
      </c>
      <c r="C324" s="5" t="s">
        <v>259</v>
      </c>
      <c r="D324" s="5" t="s">
        <v>27</v>
      </c>
      <c r="E324" s="5"/>
      <c r="F324" s="5" t="s">
        <v>389</v>
      </c>
      <c r="G324" s="5" t="s">
        <v>261</v>
      </c>
      <c r="H324" s="5" t="s">
        <v>1778</v>
      </c>
      <c r="I324" s="5" t="s">
        <v>1777</v>
      </c>
      <c r="J324" s="5" t="s">
        <v>611</v>
      </c>
      <c r="K324" s="5" t="s">
        <v>612</v>
      </c>
      <c r="L324" s="5" t="s">
        <v>1779</v>
      </c>
      <c r="M324" s="5"/>
      <c r="N324" s="5" t="s">
        <v>1780</v>
      </c>
      <c r="O324" s="5"/>
      <c r="P324" s="5"/>
      <c r="Q324" s="5" t="s">
        <v>1781</v>
      </c>
      <c r="R324" s="5"/>
      <c r="S324" s="5"/>
      <c r="T324" s="5"/>
      <c r="U324" s="5" t="s">
        <v>268</v>
      </c>
      <c r="V324" s="5" t="s">
        <v>269</v>
      </c>
      <c r="W324" s="9">
        <v>45428.7600347222</v>
      </c>
      <c r="X324" s="5"/>
      <c r="Y324" s="5"/>
      <c r="Z324" s="5"/>
      <c r="AA324" s="5"/>
      <c r="AB324" s="5">
        <v>45428.7600347222</v>
      </c>
      <c r="AC324" s="5" t="s">
        <v>269</v>
      </c>
    </row>
    <row r="325" s="1" customFormat="1" ht="17.25" customHeight="1" spans="1:29">
      <c r="A325" s="6" t="s">
        <v>1782</v>
      </c>
      <c r="B325" s="6" t="s">
        <v>389</v>
      </c>
      <c r="C325" s="6" t="s">
        <v>259</v>
      </c>
      <c r="D325" s="6" t="s">
        <v>27</v>
      </c>
      <c r="E325" s="6"/>
      <c r="F325" s="6" t="s">
        <v>389</v>
      </c>
      <c r="G325" s="6" t="s">
        <v>261</v>
      </c>
      <c r="H325" s="6" t="s">
        <v>1783</v>
      </c>
      <c r="I325" s="6" t="s">
        <v>1782</v>
      </c>
      <c r="J325" s="6" t="s">
        <v>378</v>
      </c>
      <c r="K325" s="6" t="s">
        <v>379</v>
      </c>
      <c r="L325" s="6" t="s">
        <v>1784</v>
      </c>
      <c r="M325" s="6"/>
      <c r="N325" s="6" t="s">
        <v>1785</v>
      </c>
      <c r="O325" s="6"/>
      <c r="P325" s="6"/>
      <c r="Q325" s="6" t="s">
        <v>1786</v>
      </c>
      <c r="R325" s="6"/>
      <c r="S325" s="6"/>
      <c r="T325" s="6"/>
      <c r="U325" s="6" t="s">
        <v>268</v>
      </c>
      <c r="V325" s="6" t="s">
        <v>269</v>
      </c>
      <c r="W325" s="10">
        <v>45428.7600347222</v>
      </c>
      <c r="X325" s="6"/>
      <c r="Y325" s="6"/>
      <c r="Z325" s="6"/>
      <c r="AA325" s="6"/>
      <c r="AB325" s="6">
        <v>45428.7600347222</v>
      </c>
      <c r="AC325" s="6" t="s">
        <v>269</v>
      </c>
    </row>
    <row r="326" s="1" customFormat="1" ht="17.25" customHeight="1" spans="1:29">
      <c r="A326" s="5" t="s">
        <v>1787</v>
      </c>
      <c r="B326" s="5" t="s">
        <v>389</v>
      </c>
      <c r="C326" s="5" t="s">
        <v>259</v>
      </c>
      <c r="D326" s="5" t="s">
        <v>27</v>
      </c>
      <c r="E326" s="5"/>
      <c r="F326" s="5" t="s">
        <v>389</v>
      </c>
      <c r="G326" s="5" t="s">
        <v>261</v>
      </c>
      <c r="H326" s="5" t="s">
        <v>1788</v>
      </c>
      <c r="I326" s="5" t="s">
        <v>1787</v>
      </c>
      <c r="J326" s="5"/>
      <c r="K326" s="5"/>
      <c r="L326" s="5"/>
      <c r="M326" s="5"/>
      <c r="N326" s="5" t="s">
        <v>1789</v>
      </c>
      <c r="O326" s="5"/>
      <c r="P326" s="5"/>
      <c r="Q326" s="5" t="s">
        <v>1790</v>
      </c>
      <c r="R326" s="5"/>
      <c r="S326" s="5"/>
      <c r="T326" s="5"/>
      <c r="U326" s="5" t="s">
        <v>1509</v>
      </c>
      <c r="V326" s="5" t="s">
        <v>902</v>
      </c>
      <c r="W326" s="9">
        <v>45650.7188425926</v>
      </c>
      <c r="X326" s="5"/>
      <c r="Y326" s="5"/>
      <c r="Z326" s="5"/>
      <c r="AA326" s="5"/>
      <c r="AB326" s="5">
        <v>45497.469849537</v>
      </c>
      <c r="AC326" s="5" t="s">
        <v>902</v>
      </c>
    </row>
    <row r="327" s="1" customFormat="1" ht="17.25" customHeight="1" spans="1:29">
      <c r="A327" s="6" t="s">
        <v>1791</v>
      </c>
      <c r="B327" s="6" t="s">
        <v>389</v>
      </c>
      <c r="C327" s="6" t="s">
        <v>259</v>
      </c>
      <c r="D327" s="6" t="s">
        <v>27</v>
      </c>
      <c r="E327" s="6"/>
      <c r="F327" s="6" t="s">
        <v>389</v>
      </c>
      <c r="G327" s="6" t="s">
        <v>261</v>
      </c>
      <c r="H327" s="6" t="s">
        <v>1792</v>
      </c>
      <c r="I327" s="6" t="s">
        <v>1791</v>
      </c>
      <c r="J327" s="6" t="s">
        <v>530</v>
      </c>
      <c r="K327" s="6" t="s">
        <v>531</v>
      </c>
      <c r="L327" s="6" t="s">
        <v>1550</v>
      </c>
      <c r="M327" s="6"/>
      <c r="N327" s="6" t="s">
        <v>1793</v>
      </c>
      <c r="O327" s="6"/>
      <c r="P327" s="6"/>
      <c r="Q327" s="6" t="s">
        <v>1794</v>
      </c>
      <c r="R327" s="6"/>
      <c r="S327" s="6"/>
      <c r="T327" s="6"/>
      <c r="U327" s="6" t="s">
        <v>268</v>
      </c>
      <c r="V327" s="6" t="s">
        <v>269</v>
      </c>
      <c r="W327" s="10">
        <v>45449.4733449074</v>
      </c>
      <c r="X327" s="6"/>
      <c r="Y327" s="6"/>
      <c r="Z327" s="6"/>
      <c r="AA327" s="6"/>
      <c r="AB327" s="6">
        <v>45428.7600347222</v>
      </c>
      <c r="AC327" s="6" t="s">
        <v>269</v>
      </c>
    </row>
    <row r="328" s="1" customFormat="1" ht="17.25" customHeight="1" spans="1:29">
      <c r="A328" s="5" t="s">
        <v>1795</v>
      </c>
      <c r="B328" s="5" t="s">
        <v>389</v>
      </c>
      <c r="C328" s="5" t="s">
        <v>259</v>
      </c>
      <c r="D328" s="5" t="s">
        <v>27</v>
      </c>
      <c r="E328" s="5"/>
      <c r="F328" s="5" t="s">
        <v>389</v>
      </c>
      <c r="G328" s="5" t="s">
        <v>261</v>
      </c>
      <c r="H328" s="5" t="s">
        <v>1796</v>
      </c>
      <c r="I328" s="5"/>
      <c r="J328" s="5" t="s">
        <v>530</v>
      </c>
      <c r="K328" s="5" t="s">
        <v>531</v>
      </c>
      <c r="L328" s="5" t="s">
        <v>1550</v>
      </c>
      <c r="M328" s="5"/>
      <c r="N328" s="5" t="s">
        <v>1797</v>
      </c>
      <c r="O328" s="5"/>
      <c r="P328" s="5"/>
      <c r="Q328" s="5" t="s">
        <v>1794</v>
      </c>
      <c r="R328" s="5"/>
      <c r="S328" s="5"/>
      <c r="T328" s="5"/>
      <c r="U328" s="5" t="s">
        <v>268</v>
      </c>
      <c r="V328" s="5" t="s">
        <v>269</v>
      </c>
      <c r="W328" s="9">
        <v>45428.7600347222</v>
      </c>
      <c r="X328" s="5"/>
      <c r="Y328" s="5"/>
      <c r="Z328" s="5"/>
      <c r="AA328" s="5"/>
      <c r="AB328" s="5">
        <v>45428.7600347222</v>
      </c>
      <c r="AC328" s="5" t="s">
        <v>269</v>
      </c>
    </row>
    <row r="329" s="1" customFormat="1" ht="17.25" customHeight="1" spans="1:29">
      <c r="A329" s="6" t="s">
        <v>1798</v>
      </c>
      <c r="B329" s="6" t="s">
        <v>389</v>
      </c>
      <c r="C329" s="6" t="s">
        <v>259</v>
      </c>
      <c r="D329" s="6" t="s">
        <v>27</v>
      </c>
      <c r="E329" s="6"/>
      <c r="F329" s="6" t="s">
        <v>389</v>
      </c>
      <c r="G329" s="6" t="s">
        <v>261</v>
      </c>
      <c r="H329" s="6" t="s">
        <v>1799</v>
      </c>
      <c r="I329" s="6" t="s">
        <v>1798</v>
      </c>
      <c r="J329" s="6" t="s">
        <v>530</v>
      </c>
      <c r="K329" s="6" t="s">
        <v>531</v>
      </c>
      <c r="L329" s="6" t="s">
        <v>1550</v>
      </c>
      <c r="M329" s="6"/>
      <c r="N329" s="6" t="s">
        <v>1800</v>
      </c>
      <c r="O329" s="6"/>
      <c r="P329" s="6"/>
      <c r="Q329" s="6" t="s">
        <v>1794</v>
      </c>
      <c r="R329" s="6"/>
      <c r="S329" s="6"/>
      <c r="T329" s="6"/>
      <c r="U329" s="6" t="s">
        <v>268</v>
      </c>
      <c r="V329" s="6" t="s">
        <v>269</v>
      </c>
      <c r="W329" s="10">
        <v>45428.7600347222</v>
      </c>
      <c r="X329" s="6"/>
      <c r="Y329" s="6"/>
      <c r="Z329" s="6"/>
      <c r="AA329" s="6"/>
      <c r="AB329" s="6">
        <v>45428.7600347222</v>
      </c>
      <c r="AC329" s="6" t="s">
        <v>269</v>
      </c>
    </row>
    <row r="330" s="1" customFormat="1" ht="17.25" customHeight="1" spans="1:29">
      <c r="A330" s="5" t="s">
        <v>1801</v>
      </c>
      <c r="B330" s="5" t="s">
        <v>389</v>
      </c>
      <c r="C330" s="5" t="s">
        <v>259</v>
      </c>
      <c r="D330" s="5" t="s">
        <v>27</v>
      </c>
      <c r="E330" s="5"/>
      <c r="F330" s="5" t="s">
        <v>389</v>
      </c>
      <c r="G330" s="5" t="s">
        <v>261</v>
      </c>
      <c r="H330" s="5" t="s">
        <v>1802</v>
      </c>
      <c r="I330" s="5" t="s">
        <v>1801</v>
      </c>
      <c r="J330" s="5" t="s">
        <v>530</v>
      </c>
      <c r="K330" s="5" t="s">
        <v>531</v>
      </c>
      <c r="L330" s="5" t="s">
        <v>1803</v>
      </c>
      <c r="M330" s="5"/>
      <c r="N330" s="5" t="s">
        <v>1804</v>
      </c>
      <c r="O330" s="5"/>
      <c r="P330" s="5"/>
      <c r="Q330" s="5" t="s">
        <v>1805</v>
      </c>
      <c r="R330" s="5"/>
      <c r="S330" s="5"/>
      <c r="T330" s="5"/>
      <c r="U330" s="5" t="s">
        <v>268</v>
      </c>
      <c r="V330" s="5" t="s">
        <v>269</v>
      </c>
      <c r="W330" s="9">
        <v>45428.7600347222</v>
      </c>
      <c r="X330" s="5"/>
      <c r="Y330" s="5"/>
      <c r="Z330" s="5"/>
      <c r="AA330" s="5"/>
      <c r="AB330" s="5">
        <v>45428.7600347222</v>
      </c>
      <c r="AC330" s="5" t="s">
        <v>269</v>
      </c>
    </row>
    <row r="331" s="1" customFormat="1" ht="17.25" customHeight="1" spans="1:29">
      <c r="A331" s="6" t="s">
        <v>1806</v>
      </c>
      <c r="B331" s="6" t="s">
        <v>389</v>
      </c>
      <c r="C331" s="6" t="s">
        <v>259</v>
      </c>
      <c r="D331" s="6" t="s">
        <v>27</v>
      </c>
      <c r="E331" s="6"/>
      <c r="F331" s="6" t="s">
        <v>389</v>
      </c>
      <c r="G331" s="6" t="s">
        <v>261</v>
      </c>
      <c r="H331" s="6" t="s">
        <v>1807</v>
      </c>
      <c r="I331" s="6" t="s">
        <v>1806</v>
      </c>
      <c r="J331" s="6" t="s">
        <v>530</v>
      </c>
      <c r="K331" s="6" t="s">
        <v>531</v>
      </c>
      <c r="L331" s="6" t="s">
        <v>1808</v>
      </c>
      <c r="M331" s="6"/>
      <c r="N331" s="6" t="s">
        <v>1809</v>
      </c>
      <c r="O331" s="6"/>
      <c r="P331" s="6"/>
      <c r="Q331" s="6" t="s">
        <v>1810</v>
      </c>
      <c r="R331" s="6"/>
      <c r="S331" s="6"/>
      <c r="T331" s="6"/>
      <c r="U331" s="6" t="s">
        <v>268</v>
      </c>
      <c r="V331" s="6" t="s">
        <v>269</v>
      </c>
      <c r="W331" s="10">
        <v>45428.7600347222</v>
      </c>
      <c r="X331" s="6"/>
      <c r="Y331" s="6"/>
      <c r="Z331" s="6"/>
      <c r="AA331" s="6"/>
      <c r="AB331" s="6">
        <v>45428.7600347222</v>
      </c>
      <c r="AC331" s="6" t="s">
        <v>269</v>
      </c>
    </row>
    <row r="332" s="1" customFormat="1" ht="17.25" customHeight="1" spans="1:29">
      <c r="A332" s="5" t="s">
        <v>1811</v>
      </c>
      <c r="B332" s="5" t="s">
        <v>389</v>
      </c>
      <c r="C332" s="5" t="s">
        <v>259</v>
      </c>
      <c r="D332" s="5" t="s">
        <v>27</v>
      </c>
      <c r="E332" s="5"/>
      <c r="F332" s="5" t="s">
        <v>389</v>
      </c>
      <c r="G332" s="5" t="s">
        <v>261</v>
      </c>
      <c r="H332" s="5" t="s">
        <v>1812</v>
      </c>
      <c r="I332" s="5" t="s">
        <v>1811</v>
      </c>
      <c r="J332" s="5" t="s">
        <v>530</v>
      </c>
      <c r="K332" s="5" t="s">
        <v>531</v>
      </c>
      <c r="L332" s="5" t="s">
        <v>1813</v>
      </c>
      <c r="M332" s="5"/>
      <c r="N332" s="5" t="s">
        <v>1814</v>
      </c>
      <c r="O332" s="5"/>
      <c r="P332" s="5"/>
      <c r="Q332" s="5" t="s">
        <v>1815</v>
      </c>
      <c r="R332" s="5"/>
      <c r="S332" s="5"/>
      <c r="T332" s="5"/>
      <c r="U332" s="5" t="s">
        <v>268</v>
      </c>
      <c r="V332" s="5" t="s">
        <v>269</v>
      </c>
      <c r="W332" s="9">
        <v>45428.7600347222</v>
      </c>
      <c r="X332" s="5"/>
      <c r="Y332" s="5"/>
      <c r="Z332" s="5"/>
      <c r="AA332" s="5"/>
      <c r="AB332" s="5">
        <v>45428.7600347222</v>
      </c>
      <c r="AC332" s="5" t="s">
        <v>269</v>
      </c>
    </row>
    <row r="333" s="1" customFormat="1" ht="17.25" customHeight="1" spans="1:29">
      <c r="A333" s="6" t="s">
        <v>1816</v>
      </c>
      <c r="B333" s="6" t="s">
        <v>389</v>
      </c>
      <c r="C333" s="6" t="s">
        <v>259</v>
      </c>
      <c r="D333" s="6" t="s">
        <v>27</v>
      </c>
      <c r="E333" s="6"/>
      <c r="F333" s="6" t="s">
        <v>389</v>
      </c>
      <c r="G333" s="6" t="s">
        <v>261</v>
      </c>
      <c r="H333" s="6" t="s">
        <v>1817</v>
      </c>
      <c r="I333" s="6" t="s">
        <v>1816</v>
      </c>
      <c r="J333" s="6" t="s">
        <v>530</v>
      </c>
      <c r="K333" s="6" t="s">
        <v>531</v>
      </c>
      <c r="L333" s="6" t="s">
        <v>622</v>
      </c>
      <c r="M333" s="6"/>
      <c r="N333" s="6" t="s">
        <v>1818</v>
      </c>
      <c r="O333" s="6"/>
      <c r="P333" s="6"/>
      <c r="Q333" s="6" t="s">
        <v>1819</v>
      </c>
      <c r="R333" s="6"/>
      <c r="S333" s="6"/>
      <c r="T333" s="6"/>
      <c r="U333" s="6" t="s">
        <v>268</v>
      </c>
      <c r="V333" s="6" t="s">
        <v>269</v>
      </c>
      <c r="W333" s="10">
        <v>45428.7600347222</v>
      </c>
      <c r="X333" s="6"/>
      <c r="Y333" s="6"/>
      <c r="Z333" s="6"/>
      <c r="AA333" s="6"/>
      <c r="AB333" s="6">
        <v>45428.7600347222</v>
      </c>
      <c r="AC333" s="6" t="s">
        <v>269</v>
      </c>
    </row>
    <row r="334" s="1" customFormat="1" ht="17.25" customHeight="1" spans="1:29">
      <c r="A334" s="5" t="s">
        <v>1820</v>
      </c>
      <c r="B334" s="5" t="s">
        <v>389</v>
      </c>
      <c r="C334" s="5" t="s">
        <v>259</v>
      </c>
      <c r="D334" s="5" t="s">
        <v>27</v>
      </c>
      <c r="E334" s="5"/>
      <c r="F334" s="5" t="s">
        <v>389</v>
      </c>
      <c r="G334" s="5" t="s">
        <v>261</v>
      </c>
      <c r="H334" s="5" t="s">
        <v>1821</v>
      </c>
      <c r="I334" s="5" t="s">
        <v>1820</v>
      </c>
      <c r="J334" s="5" t="s">
        <v>283</v>
      </c>
      <c r="K334" s="5" t="s">
        <v>284</v>
      </c>
      <c r="L334" s="5" t="s">
        <v>1822</v>
      </c>
      <c r="M334" s="5"/>
      <c r="N334" s="5" t="s">
        <v>1823</v>
      </c>
      <c r="O334" s="5"/>
      <c r="P334" s="5"/>
      <c r="Q334" s="5" t="s">
        <v>1824</v>
      </c>
      <c r="R334" s="5"/>
      <c r="S334" s="5"/>
      <c r="T334" s="5"/>
      <c r="U334" s="5" t="s">
        <v>268</v>
      </c>
      <c r="V334" s="5" t="s">
        <v>269</v>
      </c>
      <c r="W334" s="9">
        <v>45428.7600347222</v>
      </c>
      <c r="X334" s="5"/>
      <c r="Y334" s="5"/>
      <c r="Z334" s="5"/>
      <c r="AA334" s="5"/>
      <c r="AB334" s="5">
        <v>45428.7600347222</v>
      </c>
      <c r="AC334" s="5" t="s">
        <v>269</v>
      </c>
    </row>
    <row r="335" s="1" customFormat="1" ht="17.25" customHeight="1" spans="1:29">
      <c r="A335" s="6" t="s">
        <v>1825</v>
      </c>
      <c r="B335" s="6" t="s">
        <v>389</v>
      </c>
      <c r="C335" s="6" t="s">
        <v>259</v>
      </c>
      <c r="D335" s="6" t="s">
        <v>27</v>
      </c>
      <c r="E335" s="6"/>
      <c r="F335" s="6" t="s">
        <v>389</v>
      </c>
      <c r="G335" s="6" t="s">
        <v>261</v>
      </c>
      <c r="H335" s="6" t="s">
        <v>1826</v>
      </c>
      <c r="I335" s="6" t="s">
        <v>1825</v>
      </c>
      <c r="J335" s="6" t="s">
        <v>357</v>
      </c>
      <c r="K335" s="6" t="s">
        <v>358</v>
      </c>
      <c r="L335" s="6" t="s">
        <v>1573</v>
      </c>
      <c r="M335" s="6"/>
      <c r="N335" s="6" t="s">
        <v>1827</v>
      </c>
      <c r="O335" s="6"/>
      <c r="P335" s="6"/>
      <c r="Q335" s="6" t="s">
        <v>1828</v>
      </c>
      <c r="R335" s="6"/>
      <c r="S335" s="6"/>
      <c r="T335" s="6"/>
      <c r="U335" s="6" t="s">
        <v>268</v>
      </c>
      <c r="V335" s="6" t="s">
        <v>269</v>
      </c>
      <c r="W335" s="10">
        <v>45428.7600347222</v>
      </c>
      <c r="X335" s="6"/>
      <c r="Y335" s="6"/>
      <c r="Z335" s="6"/>
      <c r="AA335" s="6"/>
      <c r="AB335" s="6">
        <v>45428.7600347222</v>
      </c>
      <c r="AC335" s="6" t="s">
        <v>269</v>
      </c>
    </row>
    <row r="336" s="1" customFormat="1" ht="17.25" customHeight="1" spans="1:29">
      <c r="A336" s="5" t="s">
        <v>1829</v>
      </c>
      <c r="B336" s="5" t="s">
        <v>389</v>
      </c>
      <c r="C336" s="5" t="s">
        <v>259</v>
      </c>
      <c r="D336" s="5" t="s">
        <v>27</v>
      </c>
      <c r="E336" s="5"/>
      <c r="F336" s="5" t="s">
        <v>389</v>
      </c>
      <c r="G336" s="5" t="s">
        <v>261</v>
      </c>
      <c r="H336" s="5" t="s">
        <v>1830</v>
      </c>
      <c r="I336" s="5" t="s">
        <v>1829</v>
      </c>
      <c r="J336" s="5" t="s">
        <v>283</v>
      </c>
      <c r="K336" s="5" t="s">
        <v>284</v>
      </c>
      <c r="L336" s="5" t="s">
        <v>1831</v>
      </c>
      <c r="M336" s="5"/>
      <c r="N336" s="5" t="s">
        <v>1832</v>
      </c>
      <c r="O336" s="5"/>
      <c r="P336" s="5"/>
      <c r="Q336" s="5" t="s">
        <v>1833</v>
      </c>
      <c r="R336" s="5"/>
      <c r="S336" s="5"/>
      <c r="T336" s="5"/>
      <c r="U336" s="5" t="s">
        <v>268</v>
      </c>
      <c r="V336" s="5" t="s">
        <v>269</v>
      </c>
      <c r="W336" s="9">
        <v>45428.7600347222</v>
      </c>
      <c r="X336" s="5"/>
      <c r="Y336" s="5"/>
      <c r="Z336" s="5"/>
      <c r="AA336" s="5"/>
      <c r="AB336" s="5">
        <v>45428.7600347222</v>
      </c>
      <c r="AC336" s="5" t="s">
        <v>269</v>
      </c>
    </row>
    <row r="337" s="1" customFormat="1" ht="17.25" customHeight="1" spans="1:29">
      <c r="A337" s="6" t="s">
        <v>1834</v>
      </c>
      <c r="B337" s="6" t="s">
        <v>389</v>
      </c>
      <c r="C337" s="6" t="s">
        <v>259</v>
      </c>
      <c r="D337" s="6" t="s">
        <v>27</v>
      </c>
      <c r="E337" s="6"/>
      <c r="F337" s="6" t="s">
        <v>389</v>
      </c>
      <c r="G337" s="6" t="s">
        <v>261</v>
      </c>
      <c r="H337" s="6" t="s">
        <v>1835</v>
      </c>
      <c r="I337" s="6" t="s">
        <v>1834</v>
      </c>
      <c r="J337" s="6" t="s">
        <v>297</v>
      </c>
      <c r="K337" s="6" t="s">
        <v>298</v>
      </c>
      <c r="L337" s="6" t="s">
        <v>1426</v>
      </c>
      <c r="M337" s="6"/>
      <c r="N337" s="6" t="s">
        <v>1836</v>
      </c>
      <c r="O337" s="6"/>
      <c r="P337" s="6"/>
      <c r="Q337" s="6" t="s">
        <v>603</v>
      </c>
      <c r="R337" s="6"/>
      <c r="S337" s="6"/>
      <c r="T337" s="6"/>
      <c r="U337" s="6" t="s">
        <v>268</v>
      </c>
      <c r="V337" s="6" t="s">
        <v>269</v>
      </c>
      <c r="W337" s="10">
        <v>45428.7600347222</v>
      </c>
      <c r="X337" s="6"/>
      <c r="Y337" s="6"/>
      <c r="Z337" s="6"/>
      <c r="AA337" s="6"/>
      <c r="AB337" s="6">
        <v>45428.7600347222</v>
      </c>
      <c r="AC337" s="6" t="s">
        <v>269</v>
      </c>
    </row>
    <row r="338" s="1" customFormat="1" ht="17.25" customHeight="1" spans="1:29">
      <c r="A338" s="5" t="s">
        <v>1487</v>
      </c>
      <c r="B338" s="5"/>
      <c r="C338" s="5" t="s">
        <v>259</v>
      </c>
      <c r="D338" s="5" t="s">
        <v>1487</v>
      </c>
      <c r="E338" s="5"/>
      <c r="F338" s="5"/>
      <c r="G338" s="5"/>
      <c r="H338" s="5" t="s">
        <v>1837</v>
      </c>
      <c r="I338" s="5" t="s">
        <v>1487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 t="s">
        <v>268</v>
      </c>
      <c r="V338" s="5" t="s">
        <v>269</v>
      </c>
      <c r="W338" s="9">
        <v>45440.5835648148</v>
      </c>
      <c r="X338" s="5"/>
      <c r="Y338" s="5"/>
      <c r="Z338" s="5"/>
      <c r="AA338" s="5"/>
      <c r="AB338" s="5">
        <v>45428.7600347222</v>
      </c>
      <c r="AC338" s="5" t="s">
        <v>270</v>
      </c>
    </row>
    <row r="339" s="1" customFormat="1" ht="17.25" customHeight="1" spans="1:29">
      <c r="A339" s="6" t="s">
        <v>1838</v>
      </c>
      <c r="B339" s="6" t="s">
        <v>258</v>
      </c>
      <c r="C339" s="6" t="s">
        <v>259</v>
      </c>
      <c r="D339" s="6" t="s">
        <v>260</v>
      </c>
      <c r="E339" s="6"/>
      <c r="F339" s="6" t="s">
        <v>258</v>
      </c>
      <c r="G339" s="6" t="s">
        <v>261</v>
      </c>
      <c r="H339" s="6" t="s">
        <v>1839</v>
      </c>
      <c r="I339" s="6" t="s">
        <v>1838</v>
      </c>
      <c r="J339" s="6" t="s">
        <v>338</v>
      </c>
      <c r="K339" s="6" t="s">
        <v>339</v>
      </c>
      <c r="L339" s="6" t="s">
        <v>340</v>
      </c>
      <c r="M339" s="6"/>
      <c r="N339" s="6" t="s">
        <v>1840</v>
      </c>
      <c r="O339" s="6"/>
      <c r="P339" s="6"/>
      <c r="Q339" s="6" t="s">
        <v>342</v>
      </c>
      <c r="R339" s="6"/>
      <c r="S339" s="6"/>
      <c r="T339" s="6"/>
      <c r="U339" s="6" t="s">
        <v>268</v>
      </c>
      <c r="V339" s="6" t="s">
        <v>270</v>
      </c>
      <c r="W339" s="10">
        <v>45442.7793981481</v>
      </c>
      <c r="X339" s="6"/>
      <c r="Y339" s="6"/>
      <c r="Z339" s="6"/>
      <c r="AA339" s="6"/>
      <c r="AB339" s="6">
        <v>45442.7764236111</v>
      </c>
      <c r="AC339" s="6" t="s">
        <v>270</v>
      </c>
    </row>
    <row r="340" s="1" customFormat="1" ht="17.25" customHeight="1" spans="1:29">
      <c r="A340" s="5" t="s">
        <v>1841</v>
      </c>
      <c r="B340" s="5" t="s">
        <v>389</v>
      </c>
      <c r="C340" s="5" t="s">
        <v>259</v>
      </c>
      <c r="D340" s="5" t="s">
        <v>27</v>
      </c>
      <c r="E340" s="5"/>
      <c r="F340" s="5" t="s">
        <v>389</v>
      </c>
      <c r="G340" s="5" t="s">
        <v>261</v>
      </c>
      <c r="H340" s="5" t="s">
        <v>1842</v>
      </c>
      <c r="I340" s="5" t="s">
        <v>1841</v>
      </c>
      <c r="J340" s="5" t="s">
        <v>338</v>
      </c>
      <c r="K340" s="5" t="s">
        <v>339</v>
      </c>
      <c r="L340" s="5" t="s">
        <v>682</v>
      </c>
      <c r="M340" s="5"/>
      <c r="N340" s="5" t="s">
        <v>1843</v>
      </c>
      <c r="O340" s="5"/>
      <c r="P340" s="5"/>
      <c r="Q340" s="5" t="s">
        <v>1844</v>
      </c>
      <c r="R340" s="5"/>
      <c r="S340" s="5"/>
      <c r="T340" s="5"/>
      <c r="U340" s="5"/>
      <c r="V340" s="5" t="s">
        <v>270</v>
      </c>
      <c r="W340" s="9">
        <v>45539.4267592593</v>
      </c>
      <c r="X340" s="5"/>
      <c r="Y340" s="5"/>
      <c r="Z340" s="5"/>
      <c r="AA340" s="5"/>
      <c r="AB340" s="5">
        <v>45539.4267592593</v>
      </c>
      <c r="AC340" s="5" t="s">
        <v>270</v>
      </c>
    </row>
    <row r="341" s="1" customFormat="1" ht="17.25" customHeight="1" spans="1:29">
      <c r="A341" s="5" t="s">
        <v>1845</v>
      </c>
      <c r="B341" s="5" t="s">
        <v>258</v>
      </c>
      <c r="C341" s="5" t="s">
        <v>259</v>
      </c>
      <c r="D341" s="5" t="s">
        <v>260</v>
      </c>
      <c r="E341" s="5"/>
      <c r="F341" s="5" t="s">
        <v>258</v>
      </c>
      <c r="G341" s="5" t="s">
        <v>1846</v>
      </c>
      <c r="H341" s="5" t="s">
        <v>1847</v>
      </c>
      <c r="I341" s="5" t="s">
        <v>1845</v>
      </c>
      <c r="J341" s="5" t="s">
        <v>530</v>
      </c>
      <c r="K341" s="5" t="s">
        <v>531</v>
      </c>
      <c r="L341" s="5" t="s">
        <v>1550</v>
      </c>
      <c r="M341" s="5"/>
      <c r="N341" s="5" t="s">
        <v>1551</v>
      </c>
      <c r="O341" s="5"/>
      <c r="P341" s="5"/>
      <c r="Q341" s="5" t="s">
        <v>1552</v>
      </c>
      <c r="R341" s="5"/>
      <c r="S341" s="5"/>
      <c r="T341" s="5"/>
      <c r="U341" s="5" t="s">
        <v>268</v>
      </c>
      <c r="V341" s="5" t="s">
        <v>269</v>
      </c>
      <c r="W341" s="9">
        <v>45440.6079166667</v>
      </c>
      <c r="X341" s="5"/>
      <c r="Y341" s="5"/>
      <c r="Z341" s="5"/>
      <c r="AA341" s="5"/>
      <c r="AB341" s="5">
        <v>45429.3982986111</v>
      </c>
      <c r="AC341" s="5" t="s">
        <v>270</v>
      </c>
    </row>
    <row r="342" s="1" customFormat="1" ht="17.25" customHeight="1" spans="1:29">
      <c r="A342" s="6" t="s">
        <v>1848</v>
      </c>
      <c r="B342" s="6" t="s">
        <v>389</v>
      </c>
      <c r="C342" s="6" t="s">
        <v>259</v>
      </c>
      <c r="D342" s="6" t="s">
        <v>27</v>
      </c>
      <c r="E342" s="6"/>
      <c r="F342" s="6" t="s">
        <v>389</v>
      </c>
      <c r="G342" s="6" t="s">
        <v>261</v>
      </c>
      <c r="H342" s="6" t="s">
        <v>1849</v>
      </c>
      <c r="I342" s="6" t="s">
        <v>1848</v>
      </c>
      <c r="J342" s="6"/>
      <c r="K342" s="6"/>
      <c r="L342" s="6"/>
      <c r="M342" s="6"/>
      <c r="N342" s="6" t="s">
        <v>1850</v>
      </c>
      <c r="O342" s="6"/>
      <c r="P342" s="6"/>
      <c r="Q342" s="6"/>
      <c r="R342" s="6"/>
      <c r="S342" s="6"/>
      <c r="T342" s="6"/>
      <c r="U342" s="6"/>
      <c r="V342" s="6" t="s">
        <v>836</v>
      </c>
      <c r="W342" s="10">
        <v>45441.7473263889</v>
      </c>
      <c r="X342" s="6"/>
      <c r="Y342" s="6"/>
      <c r="Z342" s="6"/>
      <c r="AA342" s="6"/>
      <c r="AB342" s="6">
        <v>45441.7473263889</v>
      </c>
      <c r="AC342" s="6" t="s">
        <v>836</v>
      </c>
    </row>
    <row r="343" s="1" customFormat="1" ht="17.25" customHeight="1" spans="1:29">
      <c r="A343" s="5" t="s">
        <v>1851</v>
      </c>
      <c r="B343" s="5" t="s">
        <v>389</v>
      </c>
      <c r="C343" s="5" t="s">
        <v>259</v>
      </c>
      <c r="D343" s="5" t="s">
        <v>27</v>
      </c>
      <c r="E343" s="5"/>
      <c r="F343" s="5" t="s">
        <v>389</v>
      </c>
      <c r="G343" s="5" t="s">
        <v>261</v>
      </c>
      <c r="H343" s="5" t="s">
        <v>1852</v>
      </c>
      <c r="I343" s="5" t="s">
        <v>1851</v>
      </c>
      <c r="J343" s="5"/>
      <c r="K343" s="5"/>
      <c r="L343" s="5"/>
      <c r="M343" s="5"/>
      <c r="N343" s="5" t="s">
        <v>1853</v>
      </c>
      <c r="O343" s="5"/>
      <c r="P343" s="5"/>
      <c r="Q343" s="5"/>
      <c r="R343" s="5"/>
      <c r="S343" s="5"/>
      <c r="T343" s="5"/>
      <c r="U343" s="5"/>
      <c r="V343" s="5" t="s">
        <v>836</v>
      </c>
      <c r="W343" s="9">
        <v>45441.7473263889</v>
      </c>
      <c r="X343" s="5"/>
      <c r="Y343" s="5"/>
      <c r="Z343" s="5"/>
      <c r="AA343" s="5"/>
      <c r="AB343" s="5">
        <v>45441.7473263889</v>
      </c>
      <c r="AC343" s="5" t="s">
        <v>836</v>
      </c>
    </row>
    <row r="344" s="1" customFormat="1" ht="17.25" customHeight="1" spans="1:29">
      <c r="A344" s="6" t="s">
        <v>1854</v>
      </c>
      <c r="B344" s="6" t="s">
        <v>389</v>
      </c>
      <c r="C344" s="6" t="s">
        <v>259</v>
      </c>
      <c r="D344" s="6" t="s">
        <v>27</v>
      </c>
      <c r="E344" s="6"/>
      <c r="F344" s="6" t="s">
        <v>389</v>
      </c>
      <c r="G344" s="6" t="s">
        <v>261</v>
      </c>
      <c r="H344" s="6" t="s">
        <v>1855</v>
      </c>
      <c r="I344" s="6" t="s">
        <v>1854</v>
      </c>
      <c r="J344" s="6"/>
      <c r="K344" s="6"/>
      <c r="L344" s="6"/>
      <c r="M344" s="6"/>
      <c r="N344" s="6" t="s">
        <v>1856</v>
      </c>
      <c r="O344" s="6"/>
      <c r="P344" s="6"/>
      <c r="Q344" s="6"/>
      <c r="R344" s="6"/>
      <c r="S344" s="6"/>
      <c r="T344" s="6"/>
      <c r="U344" s="6"/>
      <c r="V344" s="6" t="s">
        <v>836</v>
      </c>
      <c r="W344" s="10">
        <v>45441.7473263889</v>
      </c>
      <c r="X344" s="6"/>
      <c r="Y344" s="6"/>
      <c r="Z344" s="6"/>
      <c r="AA344" s="6"/>
      <c r="AB344" s="6">
        <v>45441.7473263889</v>
      </c>
      <c r="AC344" s="6" t="s">
        <v>836</v>
      </c>
    </row>
    <row r="345" s="1" customFormat="1" ht="17.25" customHeight="1" spans="1:29">
      <c r="A345" s="5" t="s">
        <v>1857</v>
      </c>
      <c r="B345" s="5" t="s">
        <v>389</v>
      </c>
      <c r="C345" s="5" t="s">
        <v>259</v>
      </c>
      <c r="D345" s="5" t="s">
        <v>27</v>
      </c>
      <c r="E345" s="5"/>
      <c r="F345" s="5" t="s">
        <v>389</v>
      </c>
      <c r="G345" s="5" t="s">
        <v>261</v>
      </c>
      <c r="H345" s="5" t="s">
        <v>1858</v>
      </c>
      <c r="I345" s="5" t="s">
        <v>1857</v>
      </c>
      <c r="J345" s="5"/>
      <c r="K345" s="5"/>
      <c r="L345" s="5"/>
      <c r="M345" s="5"/>
      <c r="N345" s="5" t="s">
        <v>1859</v>
      </c>
      <c r="O345" s="5"/>
      <c r="P345" s="5"/>
      <c r="Q345" s="5" t="s">
        <v>1860</v>
      </c>
      <c r="R345" s="5"/>
      <c r="S345" s="5"/>
      <c r="T345" s="5"/>
      <c r="U345" s="5"/>
      <c r="V345" s="5" t="s">
        <v>836</v>
      </c>
      <c r="W345" s="9">
        <v>45441.7473263889</v>
      </c>
      <c r="X345" s="5"/>
      <c r="Y345" s="5"/>
      <c r="Z345" s="5"/>
      <c r="AA345" s="5"/>
      <c r="AB345" s="5">
        <v>45441.7473263889</v>
      </c>
      <c r="AC345" s="5" t="s">
        <v>836</v>
      </c>
    </row>
    <row r="346" s="1" customFormat="1" ht="17.25" customHeight="1" spans="1:29">
      <c r="A346" s="6" t="s">
        <v>1861</v>
      </c>
      <c r="B346" s="6" t="s">
        <v>389</v>
      </c>
      <c r="C346" s="6" t="s">
        <v>259</v>
      </c>
      <c r="D346" s="6" t="s">
        <v>27</v>
      </c>
      <c r="E346" s="6"/>
      <c r="F346" s="6" t="s">
        <v>389</v>
      </c>
      <c r="G346" s="6" t="s">
        <v>261</v>
      </c>
      <c r="H346" s="6" t="s">
        <v>1862</v>
      </c>
      <c r="I346" s="6" t="s">
        <v>1861</v>
      </c>
      <c r="J346" s="6"/>
      <c r="K346" s="6"/>
      <c r="L346" s="6" t="s">
        <v>1863</v>
      </c>
      <c r="M346" s="6"/>
      <c r="N346" s="6" t="s">
        <v>1864</v>
      </c>
      <c r="O346" s="6"/>
      <c r="P346" s="6"/>
      <c r="Q346" s="6" t="s">
        <v>1865</v>
      </c>
      <c r="R346" s="6"/>
      <c r="S346" s="6"/>
      <c r="T346" s="6"/>
      <c r="U346" s="6"/>
      <c r="V346" s="6" t="s">
        <v>836</v>
      </c>
      <c r="W346" s="10">
        <v>45498.7221180556</v>
      </c>
      <c r="X346" s="6"/>
      <c r="Y346" s="6"/>
      <c r="Z346" s="6"/>
      <c r="AA346" s="6"/>
      <c r="AB346" s="6">
        <v>45441.7473263889</v>
      </c>
      <c r="AC346" s="6" t="s">
        <v>902</v>
      </c>
    </row>
    <row r="347" s="1" customFormat="1" ht="17.25" customHeight="1" spans="1:29">
      <c r="A347" s="5" t="s">
        <v>1866</v>
      </c>
      <c r="B347" s="5" t="s">
        <v>389</v>
      </c>
      <c r="C347" s="5" t="s">
        <v>259</v>
      </c>
      <c r="D347" s="5" t="s">
        <v>27</v>
      </c>
      <c r="E347" s="5"/>
      <c r="F347" s="5" t="s">
        <v>389</v>
      </c>
      <c r="G347" s="5" t="s">
        <v>261</v>
      </c>
      <c r="H347" s="5" t="s">
        <v>1867</v>
      </c>
      <c r="I347" s="5" t="s">
        <v>1866</v>
      </c>
      <c r="J347" s="5"/>
      <c r="K347" s="5"/>
      <c r="L347" s="5"/>
      <c r="M347" s="5"/>
      <c r="N347" s="5" t="s">
        <v>1868</v>
      </c>
      <c r="O347" s="5"/>
      <c r="P347" s="5"/>
      <c r="Q347" s="5"/>
      <c r="R347" s="5"/>
      <c r="S347" s="5"/>
      <c r="T347" s="5"/>
      <c r="U347" s="5"/>
      <c r="V347" s="5" t="s">
        <v>836</v>
      </c>
      <c r="W347" s="9">
        <v>45441.7473263889</v>
      </c>
      <c r="X347" s="5"/>
      <c r="Y347" s="5"/>
      <c r="Z347" s="5"/>
      <c r="AA347" s="5"/>
      <c r="AB347" s="5">
        <v>45441.7473263889</v>
      </c>
      <c r="AC347" s="5" t="s">
        <v>836</v>
      </c>
    </row>
    <row r="348" s="1" customFormat="1" ht="17.25" customHeight="1" spans="1:29">
      <c r="A348" s="6" t="s">
        <v>1869</v>
      </c>
      <c r="B348" s="6" t="s">
        <v>389</v>
      </c>
      <c r="C348" s="6" t="s">
        <v>259</v>
      </c>
      <c r="D348" s="6" t="s">
        <v>27</v>
      </c>
      <c r="E348" s="6"/>
      <c r="F348" s="6" t="s">
        <v>389</v>
      </c>
      <c r="G348" s="6" t="s">
        <v>261</v>
      </c>
      <c r="H348" s="6" t="s">
        <v>1870</v>
      </c>
      <c r="I348" s="6" t="s">
        <v>1869</v>
      </c>
      <c r="J348" s="6" t="s">
        <v>1871</v>
      </c>
      <c r="K348" s="6"/>
      <c r="L348" s="6" t="s">
        <v>1872</v>
      </c>
      <c r="M348" s="6"/>
      <c r="N348" s="6" t="s">
        <v>1873</v>
      </c>
      <c r="O348" s="6"/>
      <c r="P348" s="6"/>
      <c r="Q348" s="6" t="s">
        <v>1874</v>
      </c>
      <c r="R348" s="6"/>
      <c r="S348" s="6"/>
      <c r="T348" s="6"/>
      <c r="U348" s="6"/>
      <c r="V348" s="6" t="s">
        <v>836</v>
      </c>
      <c r="W348" s="10">
        <v>45495.7032060185</v>
      </c>
      <c r="X348" s="6"/>
      <c r="Y348" s="6"/>
      <c r="Z348" s="6"/>
      <c r="AA348" s="6"/>
      <c r="AB348" s="6">
        <v>45441.7473263889</v>
      </c>
      <c r="AC348" s="6" t="s">
        <v>902</v>
      </c>
    </row>
    <row r="349" s="1" customFormat="1" ht="17.25" customHeight="1" spans="1:29">
      <c r="A349" s="5" t="s">
        <v>1875</v>
      </c>
      <c r="B349" s="5" t="s">
        <v>389</v>
      </c>
      <c r="C349" s="5" t="s">
        <v>259</v>
      </c>
      <c r="D349" s="5" t="s">
        <v>27</v>
      </c>
      <c r="E349" s="5"/>
      <c r="F349" s="5" t="s">
        <v>389</v>
      </c>
      <c r="G349" s="5" t="s">
        <v>261</v>
      </c>
      <c r="H349" s="5" t="s">
        <v>1876</v>
      </c>
      <c r="I349" s="5" t="s">
        <v>1875</v>
      </c>
      <c r="J349" s="5"/>
      <c r="K349" s="5"/>
      <c r="L349" s="5"/>
      <c r="M349" s="5"/>
      <c r="N349" s="5" t="s">
        <v>1877</v>
      </c>
      <c r="O349" s="5"/>
      <c r="P349" s="5"/>
      <c r="Q349" s="5" t="s">
        <v>1878</v>
      </c>
      <c r="R349" s="5"/>
      <c r="S349" s="5"/>
      <c r="T349" s="5"/>
      <c r="U349" s="5"/>
      <c r="V349" s="5" t="s">
        <v>836</v>
      </c>
      <c r="W349" s="9">
        <v>45441.7473263889</v>
      </c>
      <c r="X349" s="5"/>
      <c r="Y349" s="5"/>
      <c r="Z349" s="5"/>
      <c r="AA349" s="5"/>
      <c r="AB349" s="5">
        <v>45441.7473263889</v>
      </c>
      <c r="AC349" s="5" t="s">
        <v>836</v>
      </c>
    </row>
    <row r="350" s="1" customFormat="1" ht="17.25" customHeight="1" spans="1:29">
      <c r="A350" s="6" t="s">
        <v>1879</v>
      </c>
      <c r="B350" s="6" t="s">
        <v>389</v>
      </c>
      <c r="C350" s="6" t="s">
        <v>259</v>
      </c>
      <c r="D350" s="6" t="s">
        <v>27</v>
      </c>
      <c r="E350" s="6"/>
      <c r="F350" s="6" t="s">
        <v>389</v>
      </c>
      <c r="G350" s="6" t="s">
        <v>261</v>
      </c>
      <c r="H350" s="6" t="s">
        <v>1880</v>
      </c>
      <c r="I350" s="6" t="s">
        <v>1879</v>
      </c>
      <c r="J350" s="6"/>
      <c r="K350" s="6"/>
      <c r="L350" s="6"/>
      <c r="M350" s="6"/>
      <c r="N350" s="6" t="s">
        <v>1881</v>
      </c>
      <c r="O350" s="6"/>
      <c r="P350" s="6"/>
      <c r="Q350" s="6" t="s">
        <v>1882</v>
      </c>
      <c r="R350" s="6"/>
      <c r="S350" s="6"/>
      <c r="T350" s="6"/>
      <c r="U350" s="6"/>
      <c r="V350" s="6" t="s">
        <v>836</v>
      </c>
      <c r="W350" s="10">
        <v>45441.7473263889</v>
      </c>
      <c r="X350" s="6"/>
      <c r="Y350" s="6"/>
      <c r="Z350" s="6"/>
      <c r="AA350" s="6"/>
      <c r="AB350" s="6">
        <v>45441.7473263889</v>
      </c>
      <c r="AC350" s="6" t="s">
        <v>836</v>
      </c>
    </row>
    <row r="351" s="1" customFormat="1" ht="17.25" customHeight="1" spans="1:29">
      <c r="A351" s="5" t="s">
        <v>1883</v>
      </c>
      <c r="B351" s="5" t="s">
        <v>389</v>
      </c>
      <c r="C351" s="5" t="s">
        <v>259</v>
      </c>
      <c r="D351" s="5" t="s">
        <v>27</v>
      </c>
      <c r="E351" s="5"/>
      <c r="F351" s="5" t="s">
        <v>389</v>
      </c>
      <c r="G351" s="5" t="s">
        <v>261</v>
      </c>
      <c r="H351" s="5" t="s">
        <v>1884</v>
      </c>
      <c r="I351" s="5" t="s">
        <v>1883</v>
      </c>
      <c r="J351" s="5"/>
      <c r="K351" s="5"/>
      <c r="L351" s="5"/>
      <c r="M351" s="5"/>
      <c r="N351" s="5" t="s">
        <v>1885</v>
      </c>
      <c r="O351" s="5"/>
      <c r="P351" s="5"/>
      <c r="Q351" s="5" t="s">
        <v>1886</v>
      </c>
      <c r="R351" s="5"/>
      <c r="S351" s="5"/>
      <c r="T351" s="5"/>
      <c r="U351" s="5"/>
      <c r="V351" s="5" t="s">
        <v>836</v>
      </c>
      <c r="W351" s="9">
        <v>45441.7473263889</v>
      </c>
      <c r="X351" s="5"/>
      <c r="Y351" s="5"/>
      <c r="Z351" s="5"/>
      <c r="AA351" s="5"/>
      <c r="AB351" s="5">
        <v>45441.7473263889</v>
      </c>
      <c r="AC351" s="5" t="s">
        <v>836</v>
      </c>
    </row>
    <row r="352" s="1" customFormat="1" ht="17.25" customHeight="1" spans="1:29">
      <c r="A352" s="6" t="s">
        <v>1887</v>
      </c>
      <c r="B352" s="6" t="s">
        <v>389</v>
      </c>
      <c r="C352" s="6" t="s">
        <v>259</v>
      </c>
      <c r="D352" s="6" t="s">
        <v>27</v>
      </c>
      <c r="E352" s="6"/>
      <c r="F352" s="6" t="s">
        <v>389</v>
      </c>
      <c r="G352" s="6" t="s">
        <v>261</v>
      </c>
      <c r="H352" s="6"/>
      <c r="I352" s="6"/>
      <c r="J352" s="6"/>
      <c r="K352" s="6"/>
      <c r="L352" s="6"/>
      <c r="M352" s="6"/>
      <c r="N352" s="6" t="s">
        <v>1888</v>
      </c>
      <c r="O352" s="6"/>
      <c r="P352" s="6"/>
      <c r="Q352" s="6" t="s">
        <v>1889</v>
      </c>
      <c r="R352" s="6"/>
      <c r="S352" s="6"/>
      <c r="T352" s="6"/>
      <c r="U352" s="6"/>
      <c r="V352" s="6" t="s">
        <v>836</v>
      </c>
      <c r="W352" s="10">
        <v>45441.7473263889</v>
      </c>
      <c r="X352" s="6"/>
      <c r="Y352" s="6"/>
      <c r="Z352" s="6"/>
      <c r="AA352" s="6"/>
      <c r="AB352" s="6">
        <v>45441.7473263889</v>
      </c>
      <c r="AC352" s="6" t="s">
        <v>836</v>
      </c>
    </row>
    <row r="353" s="1" customFormat="1" ht="17.25" customHeight="1" spans="1:29">
      <c r="A353" s="5" t="s">
        <v>1890</v>
      </c>
      <c r="B353" s="5" t="s">
        <v>389</v>
      </c>
      <c r="C353" s="5" t="s">
        <v>259</v>
      </c>
      <c r="D353" s="5" t="s">
        <v>27</v>
      </c>
      <c r="E353" s="5"/>
      <c r="F353" s="5" t="s">
        <v>389</v>
      </c>
      <c r="G353" s="5" t="s">
        <v>261</v>
      </c>
      <c r="H353" s="5" t="s">
        <v>1891</v>
      </c>
      <c r="I353" s="5" t="s">
        <v>1890</v>
      </c>
      <c r="J353" s="5"/>
      <c r="K353" s="5"/>
      <c r="L353" s="5"/>
      <c r="M353" s="5"/>
      <c r="N353" s="5" t="s">
        <v>1892</v>
      </c>
      <c r="O353" s="5"/>
      <c r="P353" s="5"/>
      <c r="Q353" s="5" t="s">
        <v>1893</v>
      </c>
      <c r="R353" s="5"/>
      <c r="S353" s="5"/>
      <c r="T353" s="5"/>
      <c r="U353" s="5"/>
      <c r="V353" s="5" t="s">
        <v>836</v>
      </c>
      <c r="W353" s="9">
        <v>45441.7473263889</v>
      </c>
      <c r="X353" s="5"/>
      <c r="Y353" s="5"/>
      <c r="Z353" s="5"/>
      <c r="AA353" s="5"/>
      <c r="AB353" s="5">
        <v>45441.7473263889</v>
      </c>
      <c r="AC353" s="5" t="s">
        <v>836</v>
      </c>
    </row>
    <row r="354" s="1" customFormat="1" ht="17.25" customHeight="1" spans="1:29">
      <c r="A354" s="6" t="s">
        <v>1894</v>
      </c>
      <c r="B354" s="6" t="s">
        <v>389</v>
      </c>
      <c r="C354" s="6" t="s">
        <v>259</v>
      </c>
      <c r="D354" s="6" t="s">
        <v>27</v>
      </c>
      <c r="E354" s="6"/>
      <c r="F354" s="6" t="s">
        <v>389</v>
      </c>
      <c r="G354" s="6" t="s">
        <v>261</v>
      </c>
      <c r="H354" s="6" t="s">
        <v>1895</v>
      </c>
      <c r="I354" s="6" t="s">
        <v>1894</v>
      </c>
      <c r="J354" s="6"/>
      <c r="K354" s="6"/>
      <c r="L354" s="6"/>
      <c r="M354" s="6"/>
      <c r="N354" s="6" t="s">
        <v>1896</v>
      </c>
      <c r="O354" s="6"/>
      <c r="P354" s="6"/>
      <c r="Q354" s="6" t="s">
        <v>1897</v>
      </c>
      <c r="R354" s="6"/>
      <c r="S354" s="6"/>
      <c r="T354" s="6"/>
      <c r="U354" s="6"/>
      <c r="V354" s="6" t="s">
        <v>836</v>
      </c>
      <c r="W354" s="10">
        <v>45441.7473263889</v>
      </c>
      <c r="X354" s="6"/>
      <c r="Y354" s="6"/>
      <c r="Z354" s="6"/>
      <c r="AA354" s="6"/>
      <c r="AB354" s="6">
        <v>45441.7473263889</v>
      </c>
      <c r="AC354" s="6" t="s">
        <v>836</v>
      </c>
    </row>
    <row r="355" s="1" customFormat="1" ht="17.25" customHeight="1" spans="1:29">
      <c r="A355" s="5" t="s">
        <v>1898</v>
      </c>
      <c r="B355" s="5" t="s">
        <v>389</v>
      </c>
      <c r="C355" s="5" t="s">
        <v>259</v>
      </c>
      <c r="D355" s="5" t="s">
        <v>27</v>
      </c>
      <c r="E355" s="5"/>
      <c r="F355" s="5" t="s">
        <v>389</v>
      </c>
      <c r="G355" s="5" t="s">
        <v>261</v>
      </c>
      <c r="H355" s="5" t="s">
        <v>1899</v>
      </c>
      <c r="I355" s="5" t="s">
        <v>1898</v>
      </c>
      <c r="J355" s="5"/>
      <c r="K355" s="5"/>
      <c r="L355" s="5"/>
      <c r="M355" s="5"/>
      <c r="N355" s="5" t="s">
        <v>1900</v>
      </c>
      <c r="O355" s="5"/>
      <c r="P355" s="5"/>
      <c r="Q355" s="5"/>
      <c r="R355" s="5"/>
      <c r="S355" s="5"/>
      <c r="T355" s="5"/>
      <c r="U355" s="5"/>
      <c r="V355" s="5" t="s">
        <v>836</v>
      </c>
      <c r="W355" s="9">
        <v>45441.7473263889</v>
      </c>
      <c r="X355" s="5"/>
      <c r="Y355" s="5"/>
      <c r="Z355" s="5"/>
      <c r="AA355" s="5"/>
      <c r="AB355" s="5">
        <v>45441.7473263889</v>
      </c>
      <c r="AC355" s="5" t="s">
        <v>836</v>
      </c>
    </row>
    <row r="356" s="1" customFormat="1" ht="17.25" customHeight="1" spans="1:29">
      <c r="A356" s="6" t="s">
        <v>1901</v>
      </c>
      <c r="B356" s="6" t="s">
        <v>389</v>
      </c>
      <c r="C356" s="6" t="s">
        <v>259</v>
      </c>
      <c r="D356" s="6" t="s">
        <v>27</v>
      </c>
      <c r="E356" s="6"/>
      <c r="F356" s="6" t="s">
        <v>389</v>
      </c>
      <c r="G356" s="6" t="s">
        <v>261</v>
      </c>
      <c r="H356" s="6" t="s">
        <v>1902</v>
      </c>
      <c r="I356" s="6" t="s">
        <v>1901</v>
      </c>
      <c r="J356" s="6"/>
      <c r="K356" s="6"/>
      <c r="L356" s="6"/>
      <c r="M356" s="6"/>
      <c r="N356" s="6" t="s">
        <v>1903</v>
      </c>
      <c r="O356" s="6"/>
      <c r="P356" s="6"/>
      <c r="Q356" s="6" t="s">
        <v>1904</v>
      </c>
      <c r="R356" s="6"/>
      <c r="S356" s="6"/>
      <c r="T356" s="6"/>
      <c r="U356" s="6"/>
      <c r="V356" s="6" t="s">
        <v>836</v>
      </c>
      <c r="W356" s="10">
        <v>45441.7473263889</v>
      </c>
      <c r="X356" s="6"/>
      <c r="Y356" s="6"/>
      <c r="Z356" s="6"/>
      <c r="AA356" s="6"/>
      <c r="AB356" s="6">
        <v>45441.7473263889</v>
      </c>
      <c r="AC356" s="6" t="s">
        <v>836</v>
      </c>
    </row>
    <row r="357" s="1" customFormat="1" ht="17.25" customHeight="1" spans="1:29">
      <c r="A357" s="5" t="s">
        <v>1905</v>
      </c>
      <c r="B357" s="5" t="s">
        <v>389</v>
      </c>
      <c r="C357" s="5" t="s">
        <v>259</v>
      </c>
      <c r="D357" s="5" t="s">
        <v>27</v>
      </c>
      <c r="E357" s="5"/>
      <c r="F357" s="5" t="s">
        <v>389</v>
      </c>
      <c r="G357" s="5" t="s">
        <v>261</v>
      </c>
      <c r="H357" s="5" t="s">
        <v>1906</v>
      </c>
      <c r="I357" s="5" t="s">
        <v>1905</v>
      </c>
      <c r="J357" s="5"/>
      <c r="K357" s="5"/>
      <c r="L357" s="5"/>
      <c r="M357" s="5"/>
      <c r="N357" s="5" t="s">
        <v>1907</v>
      </c>
      <c r="O357" s="5"/>
      <c r="P357" s="5"/>
      <c r="Q357" s="5" t="s">
        <v>1908</v>
      </c>
      <c r="R357" s="5"/>
      <c r="S357" s="5"/>
      <c r="T357" s="5"/>
      <c r="U357" s="5"/>
      <c r="V357" s="5" t="s">
        <v>836</v>
      </c>
      <c r="W357" s="9">
        <v>45441.7473263889</v>
      </c>
      <c r="X357" s="5"/>
      <c r="Y357" s="5"/>
      <c r="Z357" s="5"/>
      <c r="AA357" s="5"/>
      <c r="AB357" s="5">
        <v>45441.7473263889</v>
      </c>
      <c r="AC357" s="5" t="s">
        <v>836</v>
      </c>
    </row>
    <row r="358" s="1" customFormat="1" ht="17.25" customHeight="1" spans="1:29">
      <c r="A358" s="6" t="s">
        <v>1909</v>
      </c>
      <c r="B358" s="6" t="s">
        <v>389</v>
      </c>
      <c r="C358" s="6" t="s">
        <v>259</v>
      </c>
      <c r="D358" s="6" t="s">
        <v>27</v>
      </c>
      <c r="E358" s="6"/>
      <c r="F358" s="6" t="s">
        <v>389</v>
      </c>
      <c r="G358" s="6" t="s">
        <v>261</v>
      </c>
      <c r="H358" s="6" t="s">
        <v>1910</v>
      </c>
      <c r="I358" s="6" t="s">
        <v>1909</v>
      </c>
      <c r="J358" s="6"/>
      <c r="K358" s="6"/>
      <c r="L358" s="6"/>
      <c r="M358" s="6"/>
      <c r="N358" s="6" t="s">
        <v>1911</v>
      </c>
      <c r="O358" s="6"/>
      <c r="P358" s="6"/>
      <c r="Q358" s="6" t="s">
        <v>1912</v>
      </c>
      <c r="R358" s="6"/>
      <c r="S358" s="6"/>
      <c r="T358" s="6"/>
      <c r="U358" s="6"/>
      <c r="V358" s="6" t="s">
        <v>836</v>
      </c>
      <c r="W358" s="10">
        <v>45441.7473263889</v>
      </c>
      <c r="X358" s="6"/>
      <c r="Y358" s="6"/>
      <c r="Z358" s="6"/>
      <c r="AA358" s="6"/>
      <c r="AB358" s="6">
        <v>45441.7473263889</v>
      </c>
      <c r="AC358" s="6" t="s">
        <v>836</v>
      </c>
    </row>
    <row r="359" s="1" customFormat="1" ht="17.25" customHeight="1" spans="1:29">
      <c r="A359" s="5" t="s">
        <v>1913</v>
      </c>
      <c r="B359" s="5" t="s">
        <v>389</v>
      </c>
      <c r="C359" s="5" t="s">
        <v>259</v>
      </c>
      <c r="D359" s="5" t="s">
        <v>27</v>
      </c>
      <c r="E359" s="5"/>
      <c r="F359" s="5" t="s">
        <v>389</v>
      </c>
      <c r="G359" s="5" t="s">
        <v>261</v>
      </c>
      <c r="H359" s="5" t="s">
        <v>1914</v>
      </c>
      <c r="I359" s="5" t="s">
        <v>1913</v>
      </c>
      <c r="J359" s="5"/>
      <c r="K359" s="5"/>
      <c r="L359" s="5"/>
      <c r="M359" s="5"/>
      <c r="N359" s="5" t="s">
        <v>1915</v>
      </c>
      <c r="O359" s="5"/>
      <c r="P359" s="5"/>
      <c r="Q359" s="5" t="s">
        <v>1916</v>
      </c>
      <c r="R359" s="5"/>
      <c r="S359" s="5"/>
      <c r="T359" s="5"/>
      <c r="U359" s="5"/>
      <c r="V359" s="5" t="s">
        <v>836</v>
      </c>
      <c r="W359" s="9">
        <v>45441.7473263889</v>
      </c>
      <c r="X359" s="5"/>
      <c r="Y359" s="5"/>
      <c r="Z359" s="5"/>
      <c r="AA359" s="5"/>
      <c r="AB359" s="5">
        <v>45441.7473263889</v>
      </c>
      <c r="AC359" s="5" t="s">
        <v>836</v>
      </c>
    </row>
    <row r="360" s="1" customFormat="1" ht="17.25" customHeight="1" spans="1:29">
      <c r="A360" s="6" t="s">
        <v>1917</v>
      </c>
      <c r="B360" s="6" t="s">
        <v>389</v>
      </c>
      <c r="C360" s="6" t="s">
        <v>259</v>
      </c>
      <c r="D360" s="6" t="s">
        <v>27</v>
      </c>
      <c r="E360" s="6"/>
      <c r="F360" s="6" t="s">
        <v>389</v>
      </c>
      <c r="G360" s="6" t="s">
        <v>261</v>
      </c>
      <c r="H360" s="6" t="s">
        <v>1918</v>
      </c>
      <c r="I360" s="6" t="s">
        <v>1917</v>
      </c>
      <c r="J360" s="6"/>
      <c r="K360" s="6"/>
      <c r="L360" s="6"/>
      <c r="M360" s="6"/>
      <c r="N360" s="6" t="s">
        <v>1919</v>
      </c>
      <c r="O360" s="6"/>
      <c r="P360" s="6"/>
      <c r="Q360" s="6" t="s">
        <v>1920</v>
      </c>
      <c r="R360" s="6"/>
      <c r="S360" s="6"/>
      <c r="T360" s="6"/>
      <c r="U360" s="6"/>
      <c r="V360" s="6" t="s">
        <v>836</v>
      </c>
      <c r="W360" s="10">
        <v>45441.7473263889</v>
      </c>
      <c r="X360" s="6"/>
      <c r="Y360" s="6"/>
      <c r="Z360" s="6"/>
      <c r="AA360" s="6"/>
      <c r="AB360" s="6">
        <v>45441.7473263889</v>
      </c>
      <c r="AC360" s="6" t="s">
        <v>836</v>
      </c>
    </row>
    <row r="361" s="1" customFormat="1" ht="17.25" customHeight="1" spans="1:29">
      <c r="A361" s="5" t="s">
        <v>1921</v>
      </c>
      <c r="B361" s="5" t="s">
        <v>389</v>
      </c>
      <c r="C361" s="5" t="s">
        <v>259</v>
      </c>
      <c r="D361" s="5" t="s">
        <v>27</v>
      </c>
      <c r="E361" s="5"/>
      <c r="F361" s="5" t="s">
        <v>389</v>
      </c>
      <c r="G361" s="5" t="s">
        <v>261</v>
      </c>
      <c r="H361" s="5" t="s">
        <v>1922</v>
      </c>
      <c r="I361" s="5" t="s">
        <v>1921</v>
      </c>
      <c r="J361" s="5"/>
      <c r="K361" s="5"/>
      <c r="L361" s="5"/>
      <c r="M361" s="5"/>
      <c r="N361" s="5" t="s">
        <v>1923</v>
      </c>
      <c r="O361" s="5"/>
      <c r="P361" s="5"/>
      <c r="Q361" s="5" t="s">
        <v>1924</v>
      </c>
      <c r="R361" s="5"/>
      <c r="S361" s="5"/>
      <c r="T361" s="5"/>
      <c r="U361" s="5"/>
      <c r="V361" s="5" t="s">
        <v>836</v>
      </c>
      <c r="W361" s="9">
        <v>45441.7473263889</v>
      </c>
      <c r="X361" s="5"/>
      <c r="Y361" s="5"/>
      <c r="Z361" s="5"/>
      <c r="AA361" s="5"/>
      <c r="AB361" s="5">
        <v>45441.7473263889</v>
      </c>
      <c r="AC361" s="5" t="s">
        <v>836</v>
      </c>
    </row>
    <row r="362" s="1" customFormat="1" ht="17.25" customHeight="1" spans="1:29">
      <c r="A362" s="6" t="s">
        <v>1925</v>
      </c>
      <c r="B362" s="6" t="s">
        <v>389</v>
      </c>
      <c r="C362" s="6" t="s">
        <v>259</v>
      </c>
      <c r="D362" s="6" t="s">
        <v>27</v>
      </c>
      <c r="E362" s="6"/>
      <c r="F362" s="6" t="s">
        <v>389</v>
      </c>
      <c r="G362" s="6" t="s">
        <v>261</v>
      </c>
      <c r="H362" s="6" t="s">
        <v>1926</v>
      </c>
      <c r="I362" s="6" t="s">
        <v>1925</v>
      </c>
      <c r="J362" s="6"/>
      <c r="K362" s="6"/>
      <c r="L362" s="6"/>
      <c r="M362" s="6"/>
      <c r="N362" s="6" t="s">
        <v>1927</v>
      </c>
      <c r="O362" s="6"/>
      <c r="P362" s="6"/>
      <c r="Q362" s="6" t="s">
        <v>1928</v>
      </c>
      <c r="R362" s="6"/>
      <c r="S362" s="6"/>
      <c r="T362" s="6"/>
      <c r="U362" s="6"/>
      <c r="V362" s="6" t="s">
        <v>836</v>
      </c>
      <c r="W362" s="10">
        <v>45441.7473263889</v>
      </c>
      <c r="X362" s="6"/>
      <c r="Y362" s="6"/>
      <c r="Z362" s="6"/>
      <c r="AA362" s="6"/>
      <c r="AB362" s="6">
        <v>45441.7473263889</v>
      </c>
      <c r="AC362" s="6" t="s">
        <v>836</v>
      </c>
    </row>
    <row r="363" s="1" customFormat="1" ht="17.25" customHeight="1" spans="1:29">
      <c r="A363" s="5" t="s">
        <v>1929</v>
      </c>
      <c r="B363" s="5" t="s">
        <v>389</v>
      </c>
      <c r="C363" s="5" t="s">
        <v>259</v>
      </c>
      <c r="D363" s="5" t="s">
        <v>27</v>
      </c>
      <c r="E363" s="5"/>
      <c r="F363" s="5" t="s">
        <v>389</v>
      </c>
      <c r="G363" s="5" t="s">
        <v>261</v>
      </c>
      <c r="H363" s="5" t="s">
        <v>1930</v>
      </c>
      <c r="I363" s="5" t="s">
        <v>1929</v>
      </c>
      <c r="J363" s="5" t="s">
        <v>1931</v>
      </c>
      <c r="K363" s="5"/>
      <c r="L363" s="5" t="s">
        <v>1932</v>
      </c>
      <c r="M363" s="5"/>
      <c r="N363" s="5" t="s">
        <v>1933</v>
      </c>
      <c r="O363" s="5"/>
      <c r="P363" s="5"/>
      <c r="Q363" s="5" t="s">
        <v>1934</v>
      </c>
      <c r="R363" s="5"/>
      <c r="S363" s="5"/>
      <c r="T363" s="5"/>
      <c r="U363" s="5"/>
      <c r="V363" s="5" t="s">
        <v>836</v>
      </c>
      <c r="W363" s="9">
        <v>45498.4388888889</v>
      </c>
      <c r="X363" s="5"/>
      <c r="Y363" s="5"/>
      <c r="Z363" s="5"/>
      <c r="AA363" s="5"/>
      <c r="AB363" s="5">
        <v>45441.7473263889</v>
      </c>
      <c r="AC363" s="5" t="s">
        <v>902</v>
      </c>
    </row>
    <row r="364" s="1" customFormat="1" ht="17.25" customHeight="1" spans="1:29">
      <c r="A364" s="6" t="s">
        <v>1935</v>
      </c>
      <c r="B364" s="6" t="s">
        <v>389</v>
      </c>
      <c r="C364" s="6" t="s">
        <v>259</v>
      </c>
      <c r="D364" s="6" t="s">
        <v>27</v>
      </c>
      <c r="E364" s="6"/>
      <c r="F364" s="6" t="s">
        <v>389</v>
      </c>
      <c r="G364" s="6" t="s">
        <v>261</v>
      </c>
      <c r="H364" s="6" t="s">
        <v>1936</v>
      </c>
      <c r="I364" s="6" t="s">
        <v>1935</v>
      </c>
      <c r="J364" s="6" t="s">
        <v>1937</v>
      </c>
      <c r="K364" s="6"/>
      <c r="L364" s="6" t="s">
        <v>1938</v>
      </c>
      <c r="M364" s="6"/>
      <c r="N364" s="6" t="s">
        <v>1939</v>
      </c>
      <c r="O364" s="6"/>
      <c r="P364" s="6"/>
      <c r="Q364" s="6"/>
      <c r="R364" s="6"/>
      <c r="S364" s="6"/>
      <c r="T364" s="6"/>
      <c r="U364" s="6"/>
      <c r="V364" s="6" t="s">
        <v>836</v>
      </c>
      <c r="W364" s="10">
        <v>45498.7258564815</v>
      </c>
      <c r="X364" s="6"/>
      <c r="Y364" s="6"/>
      <c r="Z364" s="6"/>
      <c r="AA364" s="6"/>
      <c r="AB364" s="6">
        <v>45441.7473263889</v>
      </c>
      <c r="AC364" s="6" t="s">
        <v>902</v>
      </c>
    </row>
    <row r="365" s="1" customFormat="1" ht="17.25" customHeight="1" spans="1:29">
      <c r="A365" s="5" t="s">
        <v>1940</v>
      </c>
      <c r="B365" s="5" t="s">
        <v>389</v>
      </c>
      <c r="C365" s="5" t="s">
        <v>259</v>
      </c>
      <c r="D365" s="5" t="s">
        <v>27</v>
      </c>
      <c r="E365" s="5"/>
      <c r="F365" s="5" t="s">
        <v>389</v>
      </c>
      <c r="G365" s="5" t="s">
        <v>261</v>
      </c>
      <c r="H365" s="5" t="s">
        <v>1941</v>
      </c>
      <c r="I365" s="5" t="s">
        <v>1940</v>
      </c>
      <c r="J365" s="5"/>
      <c r="K365" s="5"/>
      <c r="L365" s="5"/>
      <c r="M365" s="5"/>
      <c r="N365" s="5" t="s">
        <v>1942</v>
      </c>
      <c r="O365" s="5"/>
      <c r="P365" s="5"/>
      <c r="Q365" s="5" t="s">
        <v>1943</v>
      </c>
      <c r="R365" s="5"/>
      <c r="S365" s="5"/>
      <c r="T365" s="5"/>
      <c r="U365" s="5"/>
      <c r="V365" s="5" t="s">
        <v>836</v>
      </c>
      <c r="W365" s="9">
        <v>45441.7473263889</v>
      </c>
      <c r="X365" s="5"/>
      <c r="Y365" s="5"/>
      <c r="Z365" s="5"/>
      <c r="AA365" s="5"/>
      <c r="AB365" s="5">
        <v>45441.7473263889</v>
      </c>
      <c r="AC365" s="5" t="s">
        <v>836</v>
      </c>
    </row>
    <row r="366" s="1" customFormat="1" ht="17.25" customHeight="1" spans="1:29">
      <c r="A366" s="6" t="s">
        <v>1944</v>
      </c>
      <c r="B366" s="6" t="s">
        <v>389</v>
      </c>
      <c r="C366" s="6" t="s">
        <v>259</v>
      </c>
      <c r="D366" s="6" t="s">
        <v>27</v>
      </c>
      <c r="E366" s="6"/>
      <c r="F366" s="6" t="s">
        <v>389</v>
      </c>
      <c r="G366" s="6" t="s">
        <v>261</v>
      </c>
      <c r="H366" s="6" t="s">
        <v>1945</v>
      </c>
      <c r="I366" s="6" t="s">
        <v>1944</v>
      </c>
      <c r="J366" s="6"/>
      <c r="K366" s="6"/>
      <c r="L366" s="6"/>
      <c r="M366" s="6"/>
      <c r="N366" s="6" t="s">
        <v>1946</v>
      </c>
      <c r="O366" s="6"/>
      <c r="P366" s="6"/>
      <c r="Q366" s="6" t="s">
        <v>1947</v>
      </c>
      <c r="R366" s="6"/>
      <c r="S366" s="6"/>
      <c r="T366" s="6"/>
      <c r="U366" s="6"/>
      <c r="V366" s="6" t="s">
        <v>836</v>
      </c>
      <c r="W366" s="10">
        <v>45441.7473263889</v>
      </c>
      <c r="X366" s="6"/>
      <c r="Y366" s="6"/>
      <c r="Z366" s="6"/>
      <c r="AA366" s="6"/>
      <c r="AB366" s="6">
        <v>45441.7473263889</v>
      </c>
      <c r="AC366" s="6" t="s">
        <v>836</v>
      </c>
    </row>
    <row r="367" s="1" customFormat="1" ht="17.25" customHeight="1" spans="1:29">
      <c r="A367" s="5" t="s">
        <v>1948</v>
      </c>
      <c r="B367" s="5" t="s">
        <v>389</v>
      </c>
      <c r="C367" s="5" t="s">
        <v>259</v>
      </c>
      <c r="D367" s="5" t="s">
        <v>27</v>
      </c>
      <c r="E367" s="5"/>
      <c r="F367" s="5" t="s">
        <v>389</v>
      </c>
      <c r="G367" s="5" t="s">
        <v>261</v>
      </c>
      <c r="H367" s="5" t="s">
        <v>1949</v>
      </c>
      <c r="I367" s="5" t="s">
        <v>1948</v>
      </c>
      <c r="J367" s="5"/>
      <c r="K367" s="5"/>
      <c r="L367" s="5"/>
      <c r="M367" s="5"/>
      <c r="N367" s="5" t="s">
        <v>1950</v>
      </c>
      <c r="O367" s="5"/>
      <c r="P367" s="5"/>
      <c r="Q367" s="5" t="s">
        <v>1951</v>
      </c>
      <c r="R367" s="5"/>
      <c r="S367" s="5"/>
      <c r="T367" s="5"/>
      <c r="U367" s="5"/>
      <c r="V367" s="5" t="s">
        <v>836</v>
      </c>
      <c r="W367" s="9">
        <v>45441.7473263889</v>
      </c>
      <c r="X367" s="5"/>
      <c r="Y367" s="5"/>
      <c r="Z367" s="5"/>
      <c r="AA367" s="5"/>
      <c r="AB367" s="5">
        <v>45441.7473263889</v>
      </c>
      <c r="AC367" s="5" t="s">
        <v>836</v>
      </c>
    </row>
    <row r="368" s="1" customFormat="1" ht="17.25" customHeight="1" spans="1:29">
      <c r="A368" s="6" t="s">
        <v>1952</v>
      </c>
      <c r="B368" s="6" t="s">
        <v>389</v>
      </c>
      <c r="C368" s="6" t="s">
        <v>259</v>
      </c>
      <c r="D368" s="6" t="s">
        <v>27</v>
      </c>
      <c r="E368" s="6"/>
      <c r="F368" s="6" t="s">
        <v>389</v>
      </c>
      <c r="G368" s="6" t="s">
        <v>261</v>
      </c>
      <c r="H368" s="6" t="s">
        <v>1953</v>
      </c>
      <c r="I368" s="6" t="s">
        <v>1952</v>
      </c>
      <c r="J368" s="6"/>
      <c r="K368" s="6"/>
      <c r="L368" s="6"/>
      <c r="M368" s="6"/>
      <c r="N368" s="6" t="s">
        <v>1954</v>
      </c>
      <c r="O368" s="6"/>
      <c r="P368" s="6"/>
      <c r="Q368" s="6" t="s">
        <v>1955</v>
      </c>
      <c r="R368" s="6"/>
      <c r="S368" s="6"/>
      <c r="T368" s="6"/>
      <c r="U368" s="6"/>
      <c r="V368" s="6" t="s">
        <v>836</v>
      </c>
      <c r="W368" s="10">
        <v>45441.7473263889</v>
      </c>
      <c r="X368" s="6"/>
      <c r="Y368" s="6"/>
      <c r="Z368" s="6"/>
      <c r="AA368" s="6"/>
      <c r="AB368" s="6">
        <v>45441.7473263889</v>
      </c>
      <c r="AC368" s="6" t="s">
        <v>836</v>
      </c>
    </row>
    <row r="369" s="1" customFormat="1" ht="17.25" customHeight="1" spans="1:29">
      <c r="A369" s="5" t="s">
        <v>1956</v>
      </c>
      <c r="B369" s="5" t="s">
        <v>389</v>
      </c>
      <c r="C369" s="5" t="s">
        <v>259</v>
      </c>
      <c r="D369" s="5" t="s">
        <v>27</v>
      </c>
      <c r="E369" s="5"/>
      <c r="F369" s="5" t="s">
        <v>389</v>
      </c>
      <c r="G369" s="5" t="s">
        <v>261</v>
      </c>
      <c r="H369" s="5"/>
      <c r="I369" s="5"/>
      <c r="J369" s="5"/>
      <c r="K369" s="5"/>
      <c r="L369" s="5"/>
      <c r="M369" s="5"/>
      <c r="N369" s="5" t="s">
        <v>1957</v>
      </c>
      <c r="O369" s="5"/>
      <c r="P369" s="5"/>
      <c r="Q369" s="5" t="s">
        <v>1958</v>
      </c>
      <c r="R369" s="5"/>
      <c r="S369" s="5"/>
      <c r="T369" s="5"/>
      <c r="U369" s="5"/>
      <c r="V369" s="5" t="s">
        <v>836</v>
      </c>
      <c r="W369" s="9">
        <v>45441.7473263889</v>
      </c>
      <c r="X369" s="5"/>
      <c r="Y369" s="5"/>
      <c r="Z369" s="5"/>
      <c r="AA369" s="5"/>
      <c r="AB369" s="5">
        <v>45441.7473263889</v>
      </c>
      <c r="AC369" s="5" t="s">
        <v>836</v>
      </c>
    </row>
    <row r="370" s="1" customFormat="1" ht="17.25" customHeight="1" spans="1:29">
      <c r="A370" s="6" t="s">
        <v>1959</v>
      </c>
      <c r="B370" s="6" t="s">
        <v>389</v>
      </c>
      <c r="C370" s="6" t="s">
        <v>259</v>
      </c>
      <c r="D370" s="6" t="s">
        <v>27</v>
      </c>
      <c r="E370" s="6"/>
      <c r="F370" s="6" t="s">
        <v>389</v>
      </c>
      <c r="G370" s="6" t="s">
        <v>261</v>
      </c>
      <c r="H370" s="6" t="s">
        <v>1960</v>
      </c>
      <c r="I370" s="6" t="s">
        <v>1959</v>
      </c>
      <c r="J370" s="6"/>
      <c r="K370" s="6"/>
      <c r="L370" s="6"/>
      <c r="M370" s="6"/>
      <c r="N370" s="6" t="s">
        <v>1961</v>
      </c>
      <c r="O370" s="6"/>
      <c r="P370" s="6"/>
      <c r="Q370" s="6" t="s">
        <v>1962</v>
      </c>
      <c r="R370" s="6"/>
      <c r="S370" s="6"/>
      <c r="T370" s="6"/>
      <c r="U370" s="6"/>
      <c r="V370" s="6" t="s">
        <v>836</v>
      </c>
      <c r="W370" s="10">
        <v>45441.7473263889</v>
      </c>
      <c r="X370" s="6"/>
      <c r="Y370" s="6"/>
      <c r="Z370" s="6"/>
      <c r="AA370" s="6"/>
      <c r="AB370" s="6">
        <v>45441.7473263889</v>
      </c>
      <c r="AC370" s="6" t="s">
        <v>836</v>
      </c>
    </row>
    <row r="371" s="1" customFormat="1" ht="17.25" customHeight="1" spans="1:29">
      <c r="A371" s="5" t="s">
        <v>1963</v>
      </c>
      <c r="B371" s="5" t="s">
        <v>389</v>
      </c>
      <c r="C371" s="5" t="s">
        <v>259</v>
      </c>
      <c r="D371" s="5" t="s">
        <v>27</v>
      </c>
      <c r="E371" s="5"/>
      <c r="F371" s="5" t="s">
        <v>389</v>
      </c>
      <c r="G371" s="5" t="s">
        <v>261</v>
      </c>
      <c r="H371" s="5" t="s">
        <v>1964</v>
      </c>
      <c r="I371" s="5" t="s">
        <v>1963</v>
      </c>
      <c r="J371" s="5"/>
      <c r="K371" s="5"/>
      <c r="L371" s="5"/>
      <c r="M371" s="5"/>
      <c r="N371" s="5" t="s">
        <v>1965</v>
      </c>
      <c r="O371" s="5"/>
      <c r="P371" s="5"/>
      <c r="Q371" s="5" t="s">
        <v>1966</v>
      </c>
      <c r="R371" s="5"/>
      <c r="S371" s="5"/>
      <c r="T371" s="5"/>
      <c r="U371" s="5"/>
      <c r="V371" s="5" t="s">
        <v>836</v>
      </c>
      <c r="W371" s="9">
        <v>45441.7473263889</v>
      </c>
      <c r="X371" s="5"/>
      <c r="Y371" s="5"/>
      <c r="Z371" s="5"/>
      <c r="AA371" s="5"/>
      <c r="AB371" s="5">
        <v>45441.7473263889</v>
      </c>
      <c r="AC371" s="5" t="s">
        <v>836</v>
      </c>
    </row>
    <row r="372" s="1" customFormat="1" ht="17.25" customHeight="1" spans="1:29">
      <c r="A372" s="6" t="s">
        <v>1967</v>
      </c>
      <c r="B372" s="6" t="s">
        <v>389</v>
      </c>
      <c r="C372" s="6" t="s">
        <v>259</v>
      </c>
      <c r="D372" s="6" t="s">
        <v>27</v>
      </c>
      <c r="E372" s="6"/>
      <c r="F372" s="6" t="s">
        <v>389</v>
      </c>
      <c r="G372" s="6" t="s">
        <v>261</v>
      </c>
      <c r="H372" s="6" t="s">
        <v>1968</v>
      </c>
      <c r="I372" s="6" t="s">
        <v>1967</v>
      </c>
      <c r="J372" s="6"/>
      <c r="K372" s="6"/>
      <c r="L372" s="6"/>
      <c r="M372" s="6"/>
      <c r="N372" s="6" t="s">
        <v>1969</v>
      </c>
      <c r="O372" s="6"/>
      <c r="P372" s="6"/>
      <c r="Q372" s="6" t="s">
        <v>1970</v>
      </c>
      <c r="R372" s="6"/>
      <c r="S372" s="6"/>
      <c r="T372" s="6"/>
      <c r="U372" s="6"/>
      <c r="V372" s="6" t="s">
        <v>836</v>
      </c>
      <c r="W372" s="10">
        <v>45441.7473263889</v>
      </c>
      <c r="X372" s="6"/>
      <c r="Y372" s="6"/>
      <c r="Z372" s="6"/>
      <c r="AA372" s="6"/>
      <c r="AB372" s="6">
        <v>45441.7473263889</v>
      </c>
      <c r="AC372" s="6" t="s">
        <v>836</v>
      </c>
    </row>
    <row r="373" s="1" customFormat="1" ht="17.25" customHeight="1" spans="1:29">
      <c r="A373" s="5" t="s">
        <v>1971</v>
      </c>
      <c r="B373" s="5" t="s">
        <v>389</v>
      </c>
      <c r="C373" s="5" t="s">
        <v>259</v>
      </c>
      <c r="D373" s="5" t="s">
        <v>27</v>
      </c>
      <c r="E373" s="5"/>
      <c r="F373" s="5" t="s">
        <v>389</v>
      </c>
      <c r="G373" s="5" t="s">
        <v>261</v>
      </c>
      <c r="H373" s="5" t="s">
        <v>1972</v>
      </c>
      <c r="I373" s="5" t="s">
        <v>1971</v>
      </c>
      <c r="J373" s="5"/>
      <c r="K373" s="5"/>
      <c r="L373" s="5" t="s">
        <v>1973</v>
      </c>
      <c r="M373" s="5"/>
      <c r="N373" s="5" t="s">
        <v>1974</v>
      </c>
      <c r="O373" s="5"/>
      <c r="P373" s="5"/>
      <c r="Q373" s="5" t="s">
        <v>1975</v>
      </c>
      <c r="R373" s="5"/>
      <c r="S373" s="5"/>
      <c r="T373" s="5"/>
      <c r="U373" s="5"/>
      <c r="V373" s="5" t="s">
        <v>836</v>
      </c>
      <c r="W373" s="9">
        <v>45498.723587963</v>
      </c>
      <c r="X373" s="5"/>
      <c r="Y373" s="5"/>
      <c r="Z373" s="5"/>
      <c r="AA373" s="5"/>
      <c r="AB373" s="5">
        <v>45441.7473263889</v>
      </c>
      <c r="AC373" s="5" t="s">
        <v>902</v>
      </c>
    </row>
    <row r="374" s="1" customFormat="1" ht="17.25" customHeight="1" spans="1:29">
      <c r="A374" s="6" t="s">
        <v>1976</v>
      </c>
      <c r="B374" s="6" t="s">
        <v>389</v>
      </c>
      <c r="C374" s="6" t="s">
        <v>259</v>
      </c>
      <c r="D374" s="6" t="s">
        <v>27</v>
      </c>
      <c r="E374" s="6"/>
      <c r="F374" s="6" t="s">
        <v>389</v>
      </c>
      <c r="G374" s="6" t="s">
        <v>261</v>
      </c>
      <c r="H374" s="6" t="s">
        <v>1977</v>
      </c>
      <c r="I374" s="6" t="s">
        <v>1976</v>
      </c>
      <c r="J374" s="6"/>
      <c r="K374" s="6"/>
      <c r="L374" s="6"/>
      <c r="M374" s="6"/>
      <c r="N374" s="6" t="s">
        <v>1978</v>
      </c>
      <c r="O374" s="6"/>
      <c r="P374" s="6"/>
      <c r="Q374" s="6" t="s">
        <v>1979</v>
      </c>
      <c r="R374" s="6"/>
      <c r="S374" s="6"/>
      <c r="T374" s="6"/>
      <c r="U374" s="6"/>
      <c r="V374" s="6" t="s">
        <v>836</v>
      </c>
      <c r="W374" s="10">
        <v>45441.7473263889</v>
      </c>
      <c r="X374" s="6"/>
      <c r="Y374" s="6"/>
      <c r="Z374" s="6"/>
      <c r="AA374" s="6"/>
      <c r="AB374" s="6">
        <v>45441.7473263889</v>
      </c>
      <c r="AC374" s="6" t="s">
        <v>836</v>
      </c>
    </row>
    <row r="375" s="1" customFormat="1" ht="17.25" customHeight="1" spans="1:29">
      <c r="A375" s="5" t="s">
        <v>1980</v>
      </c>
      <c r="B375" s="5" t="s">
        <v>389</v>
      </c>
      <c r="C375" s="5" t="s">
        <v>259</v>
      </c>
      <c r="D375" s="5" t="s">
        <v>27</v>
      </c>
      <c r="E375" s="5"/>
      <c r="F375" s="5" t="s">
        <v>389</v>
      </c>
      <c r="G375" s="5" t="s">
        <v>261</v>
      </c>
      <c r="H375" s="5" t="s">
        <v>1981</v>
      </c>
      <c r="I375" s="5" t="s">
        <v>1980</v>
      </c>
      <c r="J375" s="5"/>
      <c r="K375" s="5"/>
      <c r="L375" s="5"/>
      <c r="M375" s="5"/>
      <c r="N375" s="5" t="s">
        <v>1982</v>
      </c>
      <c r="O375" s="5"/>
      <c r="P375" s="5"/>
      <c r="Q375" s="5" t="s">
        <v>1983</v>
      </c>
      <c r="R375" s="5"/>
      <c r="S375" s="5"/>
      <c r="T375" s="5"/>
      <c r="U375" s="5"/>
      <c r="V375" s="5" t="s">
        <v>836</v>
      </c>
      <c r="W375" s="9">
        <v>45441.7473263889</v>
      </c>
      <c r="X375" s="5"/>
      <c r="Y375" s="5"/>
      <c r="Z375" s="5"/>
      <c r="AA375" s="5"/>
      <c r="AB375" s="5">
        <v>45441.7473263889</v>
      </c>
      <c r="AC375" s="5" t="s">
        <v>836</v>
      </c>
    </row>
    <row r="376" s="1" customFormat="1" ht="17.25" customHeight="1" spans="1:29">
      <c r="A376" s="6" t="s">
        <v>1984</v>
      </c>
      <c r="B376" s="6" t="s">
        <v>389</v>
      </c>
      <c r="C376" s="6" t="s">
        <v>259</v>
      </c>
      <c r="D376" s="6" t="s">
        <v>27</v>
      </c>
      <c r="E376" s="6"/>
      <c r="F376" s="6" t="s">
        <v>389</v>
      </c>
      <c r="G376" s="6" t="s">
        <v>261</v>
      </c>
      <c r="H376" s="6"/>
      <c r="I376" s="6"/>
      <c r="J376" s="6"/>
      <c r="K376" s="6"/>
      <c r="L376" s="6"/>
      <c r="M376" s="6"/>
      <c r="N376" s="6" t="s">
        <v>1985</v>
      </c>
      <c r="O376" s="6"/>
      <c r="P376" s="6"/>
      <c r="Q376" s="6" t="s">
        <v>1984</v>
      </c>
      <c r="R376" s="6"/>
      <c r="S376" s="6"/>
      <c r="T376" s="6"/>
      <c r="U376" s="6"/>
      <c r="V376" s="6" t="s">
        <v>836</v>
      </c>
      <c r="W376" s="10">
        <v>45441.7473263889</v>
      </c>
      <c r="X376" s="6"/>
      <c r="Y376" s="6"/>
      <c r="Z376" s="6"/>
      <c r="AA376" s="6"/>
      <c r="AB376" s="6">
        <v>45441.7473263889</v>
      </c>
      <c r="AC376" s="6" t="s">
        <v>836</v>
      </c>
    </row>
    <row r="377" s="1" customFormat="1" ht="17.25" customHeight="1" spans="1:29">
      <c r="A377" s="5" t="s">
        <v>1986</v>
      </c>
      <c r="B377" s="5" t="s">
        <v>389</v>
      </c>
      <c r="C377" s="5" t="s">
        <v>259</v>
      </c>
      <c r="D377" s="5" t="s">
        <v>27</v>
      </c>
      <c r="E377" s="5"/>
      <c r="F377" s="5" t="s">
        <v>389</v>
      </c>
      <c r="G377" s="5" t="s">
        <v>261</v>
      </c>
      <c r="H377" s="5" t="s">
        <v>1987</v>
      </c>
      <c r="I377" s="5" t="s">
        <v>1986</v>
      </c>
      <c r="J377" s="5"/>
      <c r="K377" s="5"/>
      <c r="L377" s="5"/>
      <c r="M377" s="5"/>
      <c r="N377" s="5" t="s">
        <v>1988</v>
      </c>
      <c r="O377" s="5"/>
      <c r="P377" s="5"/>
      <c r="Q377" s="5"/>
      <c r="R377" s="5"/>
      <c r="S377" s="5"/>
      <c r="T377" s="5"/>
      <c r="U377" s="5"/>
      <c r="V377" s="5" t="s">
        <v>836</v>
      </c>
      <c r="W377" s="9">
        <v>45441.7473263889</v>
      </c>
      <c r="X377" s="5"/>
      <c r="Y377" s="5"/>
      <c r="Z377" s="5"/>
      <c r="AA377" s="5"/>
      <c r="AB377" s="5">
        <v>45441.7473263889</v>
      </c>
      <c r="AC377" s="5" t="s">
        <v>836</v>
      </c>
    </row>
    <row r="378" s="1" customFormat="1" ht="17.25" customHeight="1" spans="1:29">
      <c r="A378" s="6" t="s">
        <v>1989</v>
      </c>
      <c r="B378" s="6" t="s">
        <v>389</v>
      </c>
      <c r="C378" s="6" t="s">
        <v>259</v>
      </c>
      <c r="D378" s="6" t="s">
        <v>27</v>
      </c>
      <c r="E378" s="6"/>
      <c r="F378" s="6" t="s">
        <v>389</v>
      </c>
      <c r="G378" s="6" t="s">
        <v>261</v>
      </c>
      <c r="H378" s="6" t="s">
        <v>1990</v>
      </c>
      <c r="I378" s="6" t="s">
        <v>1989</v>
      </c>
      <c r="J378" s="6"/>
      <c r="K378" s="6"/>
      <c r="L378" s="6"/>
      <c r="M378" s="6"/>
      <c r="N378" s="6" t="s">
        <v>1991</v>
      </c>
      <c r="O378" s="6"/>
      <c r="P378" s="6"/>
      <c r="Q378" s="6" t="s">
        <v>1992</v>
      </c>
      <c r="R378" s="6"/>
      <c r="S378" s="6"/>
      <c r="T378" s="6"/>
      <c r="U378" s="6"/>
      <c r="V378" s="6" t="s">
        <v>836</v>
      </c>
      <c r="W378" s="10">
        <v>45441.7473263889</v>
      </c>
      <c r="X378" s="6"/>
      <c r="Y378" s="6"/>
      <c r="Z378" s="6"/>
      <c r="AA378" s="6"/>
      <c r="AB378" s="6">
        <v>45441.7473263889</v>
      </c>
      <c r="AC378" s="6" t="s">
        <v>836</v>
      </c>
    </row>
    <row r="379" s="1" customFormat="1" ht="17.25" customHeight="1" spans="1:29">
      <c r="A379" s="5" t="s">
        <v>1993</v>
      </c>
      <c r="B379" s="5" t="s">
        <v>389</v>
      </c>
      <c r="C379" s="5" t="s">
        <v>259</v>
      </c>
      <c r="D379" s="5" t="s">
        <v>27</v>
      </c>
      <c r="E379" s="5"/>
      <c r="F379" s="5" t="s">
        <v>389</v>
      </c>
      <c r="G379" s="5" t="s">
        <v>261</v>
      </c>
      <c r="H379" s="5"/>
      <c r="I379" s="5"/>
      <c r="J379" s="5"/>
      <c r="K379" s="5"/>
      <c r="L379" s="5"/>
      <c r="M379" s="5"/>
      <c r="N379" s="5" t="s">
        <v>1994</v>
      </c>
      <c r="O379" s="5"/>
      <c r="P379" s="5"/>
      <c r="Q379" s="5" t="s">
        <v>1995</v>
      </c>
      <c r="R379" s="5"/>
      <c r="S379" s="5"/>
      <c r="T379" s="5"/>
      <c r="U379" s="5"/>
      <c r="V379" s="5" t="s">
        <v>836</v>
      </c>
      <c r="W379" s="9">
        <v>45441.7473263889</v>
      </c>
      <c r="X379" s="5"/>
      <c r="Y379" s="5"/>
      <c r="Z379" s="5"/>
      <c r="AA379" s="5"/>
      <c r="AB379" s="5">
        <v>45441.7473263889</v>
      </c>
      <c r="AC379" s="5" t="s">
        <v>836</v>
      </c>
    </row>
    <row r="380" s="1" customFormat="1" ht="17.25" customHeight="1" spans="1:29">
      <c r="A380" s="6" t="s">
        <v>1996</v>
      </c>
      <c r="B380" s="6" t="s">
        <v>389</v>
      </c>
      <c r="C380" s="6" t="s">
        <v>259</v>
      </c>
      <c r="D380" s="6" t="s">
        <v>27</v>
      </c>
      <c r="E380" s="6"/>
      <c r="F380" s="6" t="s">
        <v>389</v>
      </c>
      <c r="G380" s="6" t="s">
        <v>261</v>
      </c>
      <c r="H380" s="6" t="s">
        <v>1997</v>
      </c>
      <c r="I380" s="6" t="s">
        <v>1996</v>
      </c>
      <c r="J380" s="6"/>
      <c r="K380" s="6"/>
      <c r="L380" s="6"/>
      <c r="M380" s="6"/>
      <c r="N380" s="6" t="s">
        <v>1998</v>
      </c>
      <c r="O380" s="6"/>
      <c r="P380" s="6"/>
      <c r="Q380" s="6" t="s">
        <v>1999</v>
      </c>
      <c r="R380" s="6"/>
      <c r="S380" s="6"/>
      <c r="T380" s="6"/>
      <c r="U380" s="6"/>
      <c r="V380" s="6" t="s">
        <v>836</v>
      </c>
      <c r="W380" s="10">
        <v>45441.7473263889</v>
      </c>
      <c r="X380" s="6"/>
      <c r="Y380" s="6"/>
      <c r="Z380" s="6"/>
      <c r="AA380" s="6"/>
      <c r="AB380" s="6">
        <v>45441.7473263889</v>
      </c>
      <c r="AC380" s="6" t="s">
        <v>836</v>
      </c>
    </row>
    <row r="381" s="1" customFormat="1" ht="17.25" customHeight="1" spans="1:29">
      <c r="A381" s="5" t="s">
        <v>2000</v>
      </c>
      <c r="B381" s="5" t="s">
        <v>389</v>
      </c>
      <c r="C381" s="5" t="s">
        <v>259</v>
      </c>
      <c r="D381" s="5" t="s">
        <v>27</v>
      </c>
      <c r="E381" s="5"/>
      <c r="F381" s="5" t="s">
        <v>389</v>
      </c>
      <c r="G381" s="5" t="s">
        <v>261</v>
      </c>
      <c r="H381" s="5"/>
      <c r="I381" s="5"/>
      <c r="J381" s="5"/>
      <c r="K381" s="5"/>
      <c r="L381" s="5"/>
      <c r="M381" s="5"/>
      <c r="N381" s="5" t="s">
        <v>2001</v>
      </c>
      <c r="O381" s="5"/>
      <c r="P381" s="5"/>
      <c r="Q381" s="5"/>
      <c r="R381" s="5"/>
      <c r="S381" s="5"/>
      <c r="T381" s="5"/>
      <c r="U381" s="5"/>
      <c r="V381" s="5" t="s">
        <v>836</v>
      </c>
      <c r="W381" s="9">
        <v>45441.7473263889</v>
      </c>
      <c r="X381" s="5"/>
      <c r="Y381" s="5"/>
      <c r="Z381" s="5"/>
      <c r="AA381" s="5"/>
      <c r="AB381" s="5">
        <v>45441.7473263889</v>
      </c>
      <c r="AC381" s="5" t="s">
        <v>836</v>
      </c>
    </row>
    <row r="382" s="1" customFormat="1" ht="17.25" customHeight="1" spans="1:29">
      <c r="A382" s="6" t="s">
        <v>2002</v>
      </c>
      <c r="B382" s="6" t="s">
        <v>389</v>
      </c>
      <c r="C382" s="6" t="s">
        <v>259</v>
      </c>
      <c r="D382" s="6" t="s">
        <v>27</v>
      </c>
      <c r="E382" s="6"/>
      <c r="F382" s="6" t="s">
        <v>389</v>
      </c>
      <c r="G382" s="6" t="s">
        <v>261</v>
      </c>
      <c r="H382" s="6" t="s">
        <v>2003</v>
      </c>
      <c r="I382" s="6" t="s">
        <v>2002</v>
      </c>
      <c r="J382" s="6"/>
      <c r="K382" s="6"/>
      <c r="L382" s="6"/>
      <c r="M382" s="6"/>
      <c r="N382" s="6" t="s">
        <v>2004</v>
      </c>
      <c r="O382" s="6"/>
      <c r="P382" s="6"/>
      <c r="Q382" s="6" t="s">
        <v>2005</v>
      </c>
      <c r="R382" s="6"/>
      <c r="S382" s="6"/>
      <c r="T382" s="6"/>
      <c r="U382" s="6"/>
      <c r="V382" s="6" t="s">
        <v>836</v>
      </c>
      <c r="W382" s="10">
        <v>45441.7473263889</v>
      </c>
      <c r="X382" s="6"/>
      <c r="Y382" s="6"/>
      <c r="Z382" s="6"/>
      <c r="AA382" s="6"/>
      <c r="AB382" s="6">
        <v>45441.7473263889</v>
      </c>
      <c r="AC382" s="6" t="s">
        <v>836</v>
      </c>
    </row>
    <row r="383" s="1" customFormat="1" ht="17.25" customHeight="1" spans="1:29">
      <c r="A383" s="5" t="s">
        <v>2006</v>
      </c>
      <c r="B383" s="5" t="s">
        <v>389</v>
      </c>
      <c r="C383" s="5" t="s">
        <v>259</v>
      </c>
      <c r="D383" s="5" t="s">
        <v>27</v>
      </c>
      <c r="E383" s="5"/>
      <c r="F383" s="5" t="s">
        <v>389</v>
      </c>
      <c r="G383" s="5" t="s">
        <v>261</v>
      </c>
      <c r="H383" s="5"/>
      <c r="I383" s="5"/>
      <c r="J383" s="5"/>
      <c r="K383" s="5"/>
      <c r="L383" s="5"/>
      <c r="M383" s="5"/>
      <c r="N383" s="5" t="s">
        <v>2007</v>
      </c>
      <c r="O383" s="5"/>
      <c r="P383" s="5"/>
      <c r="Q383" s="5"/>
      <c r="R383" s="5"/>
      <c r="S383" s="5"/>
      <c r="T383" s="5"/>
      <c r="U383" s="5"/>
      <c r="V383" s="5" t="s">
        <v>836</v>
      </c>
      <c r="W383" s="9">
        <v>45441.7473263889</v>
      </c>
      <c r="X383" s="5"/>
      <c r="Y383" s="5"/>
      <c r="Z383" s="5"/>
      <c r="AA383" s="5"/>
      <c r="AB383" s="5">
        <v>45441.7473263889</v>
      </c>
      <c r="AC383" s="5" t="s">
        <v>836</v>
      </c>
    </row>
    <row r="384" s="1" customFormat="1" ht="17.25" customHeight="1" spans="1:29">
      <c r="A384" s="6" t="s">
        <v>2008</v>
      </c>
      <c r="B384" s="6" t="s">
        <v>389</v>
      </c>
      <c r="C384" s="6" t="s">
        <v>259</v>
      </c>
      <c r="D384" s="6" t="s">
        <v>27</v>
      </c>
      <c r="E384" s="6"/>
      <c r="F384" s="6" t="s">
        <v>389</v>
      </c>
      <c r="G384" s="6" t="s">
        <v>261</v>
      </c>
      <c r="H384" s="6"/>
      <c r="I384" s="6"/>
      <c r="J384" s="6"/>
      <c r="K384" s="6"/>
      <c r="L384" s="6"/>
      <c r="M384" s="6"/>
      <c r="N384" s="6" t="s">
        <v>2009</v>
      </c>
      <c r="O384" s="6"/>
      <c r="P384" s="6"/>
      <c r="Q384" s="6" t="s">
        <v>1908</v>
      </c>
      <c r="R384" s="6"/>
      <c r="S384" s="6"/>
      <c r="T384" s="6"/>
      <c r="U384" s="6"/>
      <c r="V384" s="6" t="s">
        <v>836</v>
      </c>
      <c r="W384" s="10">
        <v>45441.7473263889</v>
      </c>
      <c r="X384" s="6"/>
      <c r="Y384" s="6"/>
      <c r="Z384" s="6"/>
      <c r="AA384" s="6"/>
      <c r="AB384" s="6">
        <v>45441.7473263889</v>
      </c>
      <c r="AC384" s="6" t="s">
        <v>836</v>
      </c>
    </row>
    <row r="385" s="1" customFormat="1" ht="17.25" customHeight="1" spans="1:29">
      <c r="A385" s="5" t="s">
        <v>2010</v>
      </c>
      <c r="B385" s="5" t="s">
        <v>389</v>
      </c>
      <c r="C385" s="5" t="s">
        <v>259</v>
      </c>
      <c r="D385" s="5" t="s">
        <v>27</v>
      </c>
      <c r="E385" s="5"/>
      <c r="F385" s="5" t="s">
        <v>389</v>
      </c>
      <c r="G385" s="5" t="s">
        <v>261</v>
      </c>
      <c r="H385" s="5"/>
      <c r="I385" s="5"/>
      <c r="J385" s="5"/>
      <c r="K385" s="5"/>
      <c r="L385" s="5"/>
      <c r="M385" s="5"/>
      <c r="N385" s="5" t="s">
        <v>2011</v>
      </c>
      <c r="O385" s="5"/>
      <c r="P385" s="5"/>
      <c r="Q385" s="5" t="s">
        <v>2012</v>
      </c>
      <c r="R385" s="5"/>
      <c r="S385" s="5"/>
      <c r="T385" s="5"/>
      <c r="U385" s="5"/>
      <c r="V385" s="5" t="s">
        <v>836</v>
      </c>
      <c r="W385" s="9">
        <v>45441.7473263889</v>
      </c>
      <c r="X385" s="5"/>
      <c r="Y385" s="5"/>
      <c r="Z385" s="5"/>
      <c r="AA385" s="5"/>
      <c r="AB385" s="5">
        <v>45441.7473263889</v>
      </c>
      <c r="AC385" s="5" t="s">
        <v>836</v>
      </c>
    </row>
    <row r="386" s="1" customFormat="1" ht="17.25" customHeight="1" spans="1:29">
      <c r="A386" s="6" t="s">
        <v>2013</v>
      </c>
      <c r="B386" s="6" t="s">
        <v>389</v>
      </c>
      <c r="C386" s="6" t="s">
        <v>259</v>
      </c>
      <c r="D386" s="6" t="s">
        <v>27</v>
      </c>
      <c r="E386" s="6"/>
      <c r="F386" s="6" t="s">
        <v>389</v>
      </c>
      <c r="G386" s="6" t="s">
        <v>261</v>
      </c>
      <c r="H386" s="6" t="s">
        <v>2014</v>
      </c>
      <c r="I386" s="6" t="s">
        <v>2013</v>
      </c>
      <c r="J386" s="6" t="s">
        <v>378</v>
      </c>
      <c r="K386" s="6" t="s">
        <v>379</v>
      </c>
      <c r="L386" s="6" t="s">
        <v>2015</v>
      </c>
      <c r="M386" s="6"/>
      <c r="N386" s="6" t="s">
        <v>2016</v>
      </c>
      <c r="O386" s="6"/>
      <c r="P386" s="6"/>
      <c r="Q386" s="6" t="s">
        <v>2017</v>
      </c>
      <c r="R386" s="6"/>
      <c r="S386" s="6"/>
      <c r="T386" s="6"/>
      <c r="U386" s="6" t="s">
        <v>268</v>
      </c>
      <c r="V386" s="6" t="s">
        <v>269</v>
      </c>
      <c r="W386" s="10">
        <v>45428.7600347222</v>
      </c>
      <c r="X386" s="6"/>
      <c r="Y386" s="6"/>
      <c r="Z386" s="6"/>
      <c r="AA386" s="6"/>
      <c r="AB386" s="6">
        <v>45428.7600347222</v>
      </c>
      <c r="AC386" s="6" t="s">
        <v>269</v>
      </c>
    </row>
    <row r="387" s="1" customFormat="1" ht="17.25" customHeight="1" spans="1:29">
      <c r="A387" s="5" t="s">
        <v>2018</v>
      </c>
      <c r="B387" s="5" t="s">
        <v>389</v>
      </c>
      <c r="C387" s="5" t="s">
        <v>259</v>
      </c>
      <c r="D387" s="5" t="s">
        <v>27</v>
      </c>
      <c r="E387" s="5"/>
      <c r="F387" s="5" t="s">
        <v>389</v>
      </c>
      <c r="G387" s="5" t="s">
        <v>261</v>
      </c>
      <c r="H387" s="5" t="s">
        <v>2019</v>
      </c>
      <c r="I387" s="5" t="s">
        <v>2018</v>
      </c>
      <c r="J387" s="5" t="s">
        <v>654</v>
      </c>
      <c r="K387" s="5" t="s">
        <v>655</v>
      </c>
      <c r="L387" s="5" t="s">
        <v>2020</v>
      </c>
      <c r="M387" s="5"/>
      <c r="N387" s="5" t="s">
        <v>2021</v>
      </c>
      <c r="O387" s="5"/>
      <c r="P387" s="5"/>
      <c r="Q387" s="5" t="s">
        <v>2022</v>
      </c>
      <c r="R387" s="5"/>
      <c r="S387" s="5"/>
      <c r="T387" s="5"/>
      <c r="U387" s="5" t="s">
        <v>268</v>
      </c>
      <c r="V387" s="5" t="s">
        <v>269</v>
      </c>
      <c r="W387" s="9">
        <v>45428.7600347222</v>
      </c>
      <c r="X387" s="5"/>
      <c r="Y387" s="5"/>
      <c r="Z387" s="5"/>
      <c r="AA387" s="5"/>
      <c r="AB387" s="5">
        <v>45428.7600347222</v>
      </c>
      <c r="AC387" s="5" t="s">
        <v>269</v>
      </c>
    </row>
    <row r="388" s="1" customFormat="1" ht="17.25" customHeight="1" spans="1:29">
      <c r="A388" s="6" t="s">
        <v>2023</v>
      </c>
      <c r="B388" s="6" t="s">
        <v>389</v>
      </c>
      <c r="C388" s="6" t="s">
        <v>259</v>
      </c>
      <c r="D388" s="6" t="s">
        <v>27</v>
      </c>
      <c r="E388" s="6"/>
      <c r="F388" s="6" t="s">
        <v>389</v>
      </c>
      <c r="G388" s="6" t="s">
        <v>261</v>
      </c>
      <c r="H388" s="6" t="s">
        <v>2024</v>
      </c>
      <c r="I388" s="6" t="s">
        <v>2023</v>
      </c>
      <c r="J388" s="6" t="s">
        <v>338</v>
      </c>
      <c r="K388" s="6" t="s">
        <v>339</v>
      </c>
      <c r="L388" s="6" t="s">
        <v>1190</v>
      </c>
      <c r="M388" s="6"/>
      <c r="N388" s="6" t="s">
        <v>2025</v>
      </c>
      <c r="O388" s="6"/>
      <c r="P388" s="6"/>
      <c r="Q388" s="6" t="s">
        <v>2026</v>
      </c>
      <c r="R388" s="6"/>
      <c r="S388" s="6"/>
      <c r="T388" s="6"/>
      <c r="U388" s="6" t="s">
        <v>268</v>
      </c>
      <c r="V388" s="6" t="s">
        <v>269</v>
      </c>
      <c r="W388" s="10">
        <v>45428.7600347222</v>
      </c>
      <c r="X388" s="6"/>
      <c r="Y388" s="6"/>
      <c r="Z388" s="6"/>
      <c r="AA388" s="6"/>
      <c r="AB388" s="6">
        <v>45428.7600347222</v>
      </c>
      <c r="AC388" s="6" t="s">
        <v>269</v>
      </c>
    </row>
    <row r="389" s="1" customFormat="1" ht="17.25" customHeight="1" spans="1:29">
      <c r="A389" s="5" t="s">
        <v>2027</v>
      </c>
      <c r="B389" s="5" t="s">
        <v>389</v>
      </c>
      <c r="C389" s="5" t="s">
        <v>259</v>
      </c>
      <c r="D389" s="5" t="s">
        <v>27</v>
      </c>
      <c r="E389" s="5"/>
      <c r="F389" s="5" t="s">
        <v>389</v>
      </c>
      <c r="G389" s="5" t="s">
        <v>261</v>
      </c>
      <c r="H389" s="5" t="s">
        <v>2028</v>
      </c>
      <c r="I389" s="5" t="s">
        <v>2027</v>
      </c>
      <c r="J389" s="5" t="s">
        <v>338</v>
      </c>
      <c r="K389" s="5" t="s">
        <v>339</v>
      </c>
      <c r="L389" s="5" t="s">
        <v>2029</v>
      </c>
      <c r="M389" s="5"/>
      <c r="N389" s="5" t="s">
        <v>2030</v>
      </c>
      <c r="O389" s="5"/>
      <c r="P389" s="5"/>
      <c r="Q389" s="5" t="s">
        <v>2031</v>
      </c>
      <c r="R389" s="5"/>
      <c r="S389" s="5"/>
      <c r="T389" s="5"/>
      <c r="U389" s="5" t="s">
        <v>268</v>
      </c>
      <c r="V389" s="5" t="s">
        <v>269</v>
      </c>
      <c r="W389" s="9">
        <v>45428.7600347222</v>
      </c>
      <c r="X389" s="5"/>
      <c r="Y389" s="5"/>
      <c r="Z389" s="5"/>
      <c r="AA389" s="5"/>
      <c r="AB389" s="5">
        <v>45428.7600347222</v>
      </c>
      <c r="AC389" s="5" t="s">
        <v>269</v>
      </c>
    </row>
    <row r="390" s="1" customFormat="1" ht="17.25" customHeight="1" spans="1:29">
      <c r="A390" s="6" t="s">
        <v>2032</v>
      </c>
      <c r="B390" s="6" t="s">
        <v>389</v>
      </c>
      <c r="C390" s="6" t="s">
        <v>259</v>
      </c>
      <c r="D390" s="6" t="s">
        <v>27</v>
      </c>
      <c r="E390" s="6"/>
      <c r="F390" s="6" t="s">
        <v>389</v>
      </c>
      <c r="G390" s="6" t="s">
        <v>261</v>
      </c>
      <c r="H390" s="6" t="s">
        <v>2033</v>
      </c>
      <c r="I390" s="6" t="s">
        <v>2032</v>
      </c>
      <c r="J390" s="6" t="s">
        <v>338</v>
      </c>
      <c r="K390" s="6" t="s">
        <v>339</v>
      </c>
      <c r="L390" s="6" t="s">
        <v>739</v>
      </c>
      <c r="M390" s="6"/>
      <c r="N390" s="6" t="s">
        <v>2034</v>
      </c>
      <c r="O390" s="6"/>
      <c r="P390" s="6"/>
      <c r="Q390" s="6" t="s">
        <v>741</v>
      </c>
      <c r="R390" s="6"/>
      <c r="S390" s="6"/>
      <c r="T390" s="6"/>
      <c r="U390" s="6" t="s">
        <v>268</v>
      </c>
      <c r="V390" s="6" t="s">
        <v>269</v>
      </c>
      <c r="W390" s="10">
        <v>45428.7600347222</v>
      </c>
      <c r="X390" s="6"/>
      <c r="Y390" s="6"/>
      <c r="Z390" s="6"/>
      <c r="AA390" s="6"/>
      <c r="AB390" s="6">
        <v>45428.7600347222</v>
      </c>
      <c r="AC390" s="6" t="s">
        <v>269</v>
      </c>
    </row>
    <row r="391" s="1" customFormat="1" ht="17.25" customHeight="1" spans="1:29">
      <c r="A391" s="5" t="s">
        <v>2035</v>
      </c>
      <c r="B391" s="5" t="s">
        <v>389</v>
      </c>
      <c r="C391" s="5" t="s">
        <v>259</v>
      </c>
      <c r="D391" s="5" t="s">
        <v>27</v>
      </c>
      <c r="E391" s="5"/>
      <c r="F391" s="5" t="s">
        <v>389</v>
      </c>
      <c r="G391" s="5" t="s">
        <v>261</v>
      </c>
      <c r="H391" s="5" t="s">
        <v>2036</v>
      </c>
      <c r="I391" s="5" t="s">
        <v>2035</v>
      </c>
      <c r="J391" s="5" t="s">
        <v>1085</v>
      </c>
      <c r="K391" s="5" t="s">
        <v>1086</v>
      </c>
      <c r="L391" s="5" t="s">
        <v>2037</v>
      </c>
      <c r="M391" s="5"/>
      <c r="N391" s="5" t="s">
        <v>2038</v>
      </c>
      <c r="O391" s="5"/>
      <c r="P391" s="5"/>
      <c r="Q391" s="5" t="s">
        <v>1089</v>
      </c>
      <c r="R391" s="5"/>
      <c r="S391" s="5"/>
      <c r="T391" s="5"/>
      <c r="U391" s="5" t="s">
        <v>268</v>
      </c>
      <c r="V391" s="5" t="s">
        <v>269</v>
      </c>
      <c r="W391" s="9">
        <v>45428.7600347222</v>
      </c>
      <c r="X391" s="5"/>
      <c r="Y391" s="5"/>
      <c r="Z391" s="5"/>
      <c r="AA391" s="5"/>
      <c r="AB391" s="5">
        <v>45428.7600347222</v>
      </c>
      <c r="AC391" s="5" t="s">
        <v>269</v>
      </c>
    </row>
    <row r="392" s="1" customFormat="1" ht="17.25" customHeight="1" spans="1:29">
      <c r="A392" s="6" t="s">
        <v>2039</v>
      </c>
      <c r="B392" s="6" t="s">
        <v>389</v>
      </c>
      <c r="C392" s="6" t="s">
        <v>259</v>
      </c>
      <c r="D392" s="6" t="s">
        <v>27</v>
      </c>
      <c r="E392" s="6"/>
      <c r="F392" s="6" t="s">
        <v>389</v>
      </c>
      <c r="G392" s="6" t="s">
        <v>261</v>
      </c>
      <c r="H392" s="6" t="s">
        <v>2040</v>
      </c>
      <c r="I392" s="6" t="s">
        <v>2039</v>
      </c>
      <c r="J392" s="6" t="s">
        <v>1085</v>
      </c>
      <c r="K392" s="6" t="s">
        <v>1086</v>
      </c>
      <c r="L392" s="6" t="s">
        <v>2041</v>
      </c>
      <c r="M392" s="6"/>
      <c r="N392" s="6" t="s">
        <v>2042</v>
      </c>
      <c r="O392" s="6"/>
      <c r="P392" s="6"/>
      <c r="Q392" s="6" t="s">
        <v>2043</v>
      </c>
      <c r="R392" s="6"/>
      <c r="S392" s="6"/>
      <c r="T392" s="6"/>
      <c r="U392" s="6" t="s">
        <v>268</v>
      </c>
      <c r="V392" s="6" t="s">
        <v>269</v>
      </c>
      <c r="W392" s="10">
        <v>45428.7600347222</v>
      </c>
      <c r="X392" s="6"/>
      <c r="Y392" s="6"/>
      <c r="Z392" s="6"/>
      <c r="AA392" s="6"/>
      <c r="AB392" s="6">
        <v>45428.7600347222</v>
      </c>
      <c r="AC392" s="6" t="s">
        <v>269</v>
      </c>
    </row>
    <row r="393" s="1" customFormat="1" ht="17.25" customHeight="1" spans="1:29">
      <c r="A393" s="5" t="s">
        <v>2044</v>
      </c>
      <c r="B393" s="5" t="s">
        <v>389</v>
      </c>
      <c r="C393" s="5" t="s">
        <v>259</v>
      </c>
      <c r="D393" s="5" t="s">
        <v>27</v>
      </c>
      <c r="E393" s="5"/>
      <c r="F393" s="5" t="s">
        <v>389</v>
      </c>
      <c r="G393" s="5" t="s">
        <v>261</v>
      </c>
      <c r="H393" s="5" t="s">
        <v>2045</v>
      </c>
      <c r="I393" s="5" t="s">
        <v>2044</v>
      </c>
      <c r="J393" s="5" t="s">
        <v>1085</v>
      </c>
      <c r="K393" s="5" t="s">
        <v>1086</v>
      </c>
      <c r="L393" s="5" t="s">
        <v>2037</v>
      </c>
      <c r="M393" s="5"/>
      <c r="N393" s="5" t="s">
        <v>2046</v>
      </c>
      <c r="O393" s="5"/>
      <c r="P393" s="5"/>
      <c r="Q393" s="5" t="s">
        <v>1089</v>
      </c>
      <c r="R393" s="5"/>
      <c r="S393" s="5"/>
      <c r="T393" s="5"/>
      <c r="U393" s="5" t="s">
        <v>268</v>
      </c>
      <c r="V393" s="5" t="s">
        <v>269</v>
      </c>
      <c r="W393" s="9">
        <v>45428.7600347222</v>
      </c>
      <c r="X393" s="5"/>
      <c r="Y393" s="5"/>
      <c r="Z393" s="5"/>
      <c r="AA393" s="5"/>
      <c r="AB393" s="5">
        <v>45428.7600347222</v>
      </c>
      <c r="AC393" s="5" t="s">
        <v>269</v>
      </c>
    </row>
    <row r="394" s="1" customFormat="1" ht="17.25" customHeight="1" spans="1:29">
      <c r="A394" s="6" t="s">
        <v>2047</v>
      </c>
      <c r="B394" s="6" t="s">
        <v>389</v>
      </c>
      <c r="C394" s="6" t="s">
        <v>259</v>
      </c>
      <c r="D394" s="6" t="s">
        <v>27</v>
      </c>
      <c r="E394" s="6"/>
      <c r="F394" s="6" t="s">
        <v>389</v>
      </c>
      <c r="G394" s="6" t="s">
        <v>261</v>
      </c>
      <c r="H394" s="6" t="s">
        <v>2048</v>
      </c>
      <c r="I394" s="6" t="s">
        <v>2047</v>
      </c>
      <c r="J394" s="6" t="s">
        <v>1085</v>
      </c>
      <c r="K394" s="6" t="s">
        <v>1086</v>
      </c>
      <c r="L394" s="6" t="s">
        <v>2041</v>
      </c>
      <c r="M394" s="6"/>
      <c r="N394" s="6" t="s">
        <v>2042</v>
      </c>
      <c r="O394" s="6"/>
      <c r="P394" s="6"/>
      <c r="Q394" s="6" t="s">
        <v>2043</v>
      </c>
      <c r="R394" s="6"/>
      <c r="S394" s="6"/>
      <c r="T394" s="6"/>
      <c r="U394" s="6" t="s">
        <v>268</v>
      </c>
      <c r="V394" s="6" t="s">
        <v>269</v>
      </c>
      <c r="W394" s="10">
        <v>45428.7600347222</v>
      </c>
      <c r="X394" s="6"/>
      <c r="Y394" s="6"/>
      <c r="Z394" s="6"/>
      <c r="AA394" s="6"/>
      <c r="AB394" s="6">
        <v>45428.7600347222</v>
      </c>
      <c r="AC394" s="6" t="s">
        <v>269</v>
      </c>
    </row>
    <row r="395" s="1" customFormat="1" ht="17.25" customHeight="1" spans="1:29">
      <c r="A395" s="5" t="s">
        <v>2049</v>
      </c>
      <c r="B395" s="5" t="s">
        <v>389</v>
      </c>
      <c r="C395" s="5" t="s">
        <v>259</v>
      </c>
      <c r="D395" s="5" t="s">
        <v>27</v>
      </c>
      <c r="E395" s="5"/>
      <c r="F395" s="5" t="s">
        <v>389</v>
      </c>
      <c r="G395" s="5" t="s">
        <v>261</v>
      </c>
      <c r="H395" s="5" t="s">
        <v>2050</v>
      </c>
      <c r="I395" s="5" t="s">
        <v>2049</v>
      </c>
      <c r="J395" s="5" t="s">
        <v>338</v>
      </c>
      <c r="K395" s="5" t="s">
        <v>339</v>
      </c>
      <c r="L395" s="5" t="s">
        <v>1537</v>
      </c>
      <c r="M395" s="5"/>
      <c r="N395" s="5" t="s">
        <v>2051</v>
      </c>
      <c r="O395" s="5"/>
      <c r="P395" s="5"/>
      <c r="Q395" s="5" t="s">
        <v>2052</v>
      </c>
      <c r="R395" s="5"/>
      <c r="S395" s="5"/>
      <c r="T395" s="5"/>
      <c r="U395" s="5" t="s">
        <v>268</v>
      </c>
      <c r="V395" s="5" t="s">
        <v>269</v>
      </c>
      <c r="W395" s="9">
        <v>45428.7600347222</v>
      </c>
      <c r="X395" s="5"/>
      <c r="Y395" s="5"/>
      <c r="Z395" s="5"/>
      <c r="AA395" s="5"/>
      <c r="AB395" s="5">
        <v>45428.7600347222</v>
      </c>
      <c r="AC395" s="5" t="s">
        <v>269</v>
      </c>
    </row>
    <row r="396" s="1" customFormat="1" ht="17.25" customHeight="1" spans="1:29">
      <c r="A396" s="6" t="s">
        <v>2053</v>
      </c>
      <c r="B396" s="6" t="s">
        <v>389</v>
      </c>
      <c r="C396" s="6" t="s">
        <v>259</v>
      </c>
      <c r="D396" s="6" t="s">
        <v>27</v>
      </c>
      <c r="E396" s="6"/>
      <c r="F396" s="6" t="s">
        <v>389</v>
      </c>
      <c r="G396" s="6" t="s">
        <v>261</v>
      </c>
      <c r="H396" s="6" t="s">
        <v>2054</v>
      </c>
      <c r="I396" s="6" t="s">
        <v>2053</v>
      </c>
      <c r="J396" s="6" t="s">
        <v>338</v>
      </c>
      <c r="K396" s="6" t="s">
        <v>339</v>
      </c>
      <c r="L396" s="6" t="s">
        <v>418</v>
      </c>
      <c r="M396" s="6"/>
      <c r="N396" s="6" t="s">
        <v>2055</v>
      </c>
      <c r="O396" s="6"/>
      <c r="P396" s="6"/>
      <c r="Q396" s="6" t="s">
        <v>2056</v>
      </c>
      <c r="R396" s="6"/>
      <c r="S396" s="6"/>
      <c r="T396" s="6"/>
      <c r="U396" s="6" t="s">
        <v>268</v>
      </c>
      <c r="V396" s="6" t="s">
        <v>269</v>
      </c>
      <c r="W396" s="10">
        <v>45428.7600347222</v>
      </c>
      <c r="X396" s="6"/>
      <c r="Y396" s="6"/>
      <c r="Z396" s="6"/>
      <c r="AA396" s="6"/>
      <c r="AB396" s="6">
        <v>45428.7600347222</v>
      </c>
      <c r="AC396" s="6" t="s">
        <v>269</v>
      </c>
    </row>
    <row r="397" s="1" customFormat="1" ht="17.25" customHeight="1" spans="1:29">
      <c r="A397" s="5" t="s">
        <v>2057</v>
      </c>
      <c r="B397" s="5" t="s">
        <v>389</v>
      </c>
      <c r="C397" s="5" t="s">
        <v>259</v>
      </c>
      <c r="D397" s="5" t="s">
        <v>27</v>
      </c>
      <c r="E397" s="5"/>
      <c r="F397" s="5" t="s">
        <v>389</v>
      </c>
      <c r="G397" s="5" t="s">
        <v>261</v>
      </c>
      <c r="H397" s="5" t="s">
        <v>2058</v>
      </c>
      <c r="I397" s="5" t="s">
        <v>2057</v>
      </c>
      <c r="J397" s="5" t="s">
        <v>338</v>
      </c>
      <c r="K397" s="5" t="s">
        <v>339</v>
      </c>
      <c r="L397" s="5" t="s">
        <v>1537</v>
      </c>
      <c r="M397" s="5"/>
      <c r="N397" s="5" t="s">
        <v>2059</v>
      </c>
      <c r="O397" s="5"/>
      <c r="P397" s="5"/>
      <c r="Q397" s="5" t="s">
        <v>1539</v>
      </c>
      <c r="R397" s="5"/>
      <c r="S397" s="5"/>
      <c r="T397" s="5"/>
      <c r="U397" s="5" t="s">
        <v>268</v>
      </c>
      <c r="V397" s="5" t="s">
        <v>269</v>
      </c>
      <c r="W397" s="9">
        <v>45428.7600347222</v>
      </c>
      <c r="X397" s="5"/>
      <c r="Y397" s="5"/>
      <c r="Z397" s="5"/>
      <c r="AA397" s="5"/>
      <c r="AB397" s="5">
        <v>45428.7600347222</v>
      </c>
      <c r="AC397" s="5" t="s">
        <v>269</v>
      </c>
    </row>
    <row r="398" s="1" customFormat="1" ht="17.25" customHeight="1" spans="1:29">
      <c r="A398" s="6" t="s">
        <v>2060</v>
      </c>
      <c r="B398" s="6" t="s">
        <v>389</v>
      </c>
      <c r="C398" s="6" t="s">
        <v>259</v>
      </c>
      <c r="D398" s="6" t="s">
        <v>27</v>
      </c>
      <c r="E398" s="6"/>
      <c r="F398" s="6" t="s">
        <v>389</v>
      </c>
      <c r="G398" s="6" t="s">
        <v>261</v>
      </c>
      <c r="H398" s="6" t="s">
        <v>2061</v>
      </c>
      <c r="I398" s="6" t="s">
        <v>2060</v>
      </c>
      <c r="J398" s="6" t="s">
        <v>338</v>
      </c>
      <c r="K398" s="6" t="s">
        <v>339</v>
      </c>
      <c r="L398" s="6" t="s">
        <v>2062</v>
      </c>
      <c r="M398" s="6"/>
      <c r="N398" s="6" t="s">
        <v>2063</v>
      </c>
      <c r="O398" s="6"/>
      <c r="P398" s="6"/>
      <c r="Q398" s="6" t="s">
        <v>2064</v>
      </c>
      <c r="R398" s="6"/>
      <c r="S398" s="6"/>
      <c r="T398" s="6"/>
      <c r="U398" s="6" t="s">
        <v>268</v>
      </c>
      <c r="V398" s="6" t="s">
        <v>269</v>
      </c>
      <c r="W398" s="10">
        <v>45428.7600347222</v>
      </c>
      <c r="X398" s="6"/>
      <c r="Y398" s="6"/>
      <c r="Z398" s="6"/>
      <c r="AA398" s="6"/>
      <c r="AB398" s="6">
        <v>45428.7600347222</v>
      </c>
      <c r="AC398" s="6" t="s">
        <v>269</v>
      </c>
    </row>
    <row r="399" s="1" customFormat="1" ht="17.25" customHeight="1" spans="1:29">
      <c r="A399" s="5" t="s">
        <v>2065</v>
      </c>
      <c r="B399" s="5" t="s">
        <v>389</v>
      </c>
      <c r="C399" s="5" t="s">
        <v>259</v>
      </c>
      <c r="D399" s="5" t="s">
        <v>27</v>
      </c>
      <c r="E399" s="5"/>
      <c r="F399" s="5" t="s">
        <v>389</v>
      </c>
      <c r="G399" s="5" t="s">
        <v>261</v>
      </c>
      <c r="H399" s="5" t="s">
        <v>2066</v>
      </c>
      <c r="I399" s="5" t="s">
        <v>2065</v>
      </c>
      <c r="J399" s="5" t="s">
        <v>637</v>
      </c>
      <c r="K399" s="5" t="s">
        <v>638</v>
      </c>
      <c r="L399" s="5" t="s">
        <v>2067</v>
      </c>
      <c r="M399" s="5"/>
      <c r="N399" s="5" t="s">
        <v>2068</v>
      </c>
      <c r="O399" s="5"/>
      <c r="P399" s="5"/>
      <c r="Q399" s="5" t="s">
        <v>2069</v>
      </c>
      <c r="R399" s="5"/>
      <c r="S399" s="5"/>
      <c r="T399" s="5"/>
      <c r="U399" s="5" t="s">
        <v>268</v>
      </c>
      <c r="V399" s="5" t="s">
        <v>269</v>
      </c>
      <c r="W399" s="9">
        <v>45428.7600347222</v>
      </c>
      <c r="X399" s="5"/>
      <c r="Y399" s="5"/>
      <c r="Z399" s="5"/>
      <c r="AA399" s="5"/>
      <c r="AB399" s="5">
        <v>45428.7600347222</v>
      </c>
      <c r="AC399" s="5" t="s">
        <v>269</v>
      </c>
    </row>
    <row r="400" s="1" customFormat="1" ht="17.25" customHeight="1" spans="1:29">
      <c r="A400" s="6" t="s">
        <v>2070</v>
      </c>
      <c r="B400" s="6" t="s">
        <v>389</v>
      </c>
      <c r="C400" s="6" t="s">
        <v>259</v>
      </c>
      <c r="D400" s="6" t="s">
        <v>27</v>
      </c>
      <c r="E400" s="6"/>
      <c r="F400" s="6" t="s">
        <v>389</v>
      </c>
      <c r="G400" s="6" t="s">
        <v>261</v>
      </c>
      <c r="H400" s="6" t="s">
        <v>2071</v>
      </c>
      <c r="I400" s="6" t="s">
        <v>2070</v>
      </c>
      <c r="J400" s="6" t="s">
        <v>338</v>
      </c>
      <c r="K400" s="6" t="s">
        <v>339</v>
      </c>
      <c r="L400" s="6" t="s">
        <v>1739</v>
      </c>
      <c r="M400" s="6"/>
      <c r="N400" s="6" t="s">
        <v>2072</v>
      </c>
      <c r="O400" s="6"/>
      <c r="P400" s="6"/>
      <c r="Q400" s="6" t="s">
        <v>1741</v>
      </c>
      <c r="R400" s="6"/>
      <c r="S400" s="6"/>
      <c r="T400" s="6"/>
      <c r="U400" s="6" t="s">
        <v>268</v>
      </c>
      <c r="V400" s="6" t="s">
        <v>269</v>
      </c>
      <c r="W400" s="10">
        <v>45428.7600347222</v>
      </c>
      <c r="X400" s="6"/>
      <c r="Y400" s="6"/>
      <c r="Z400" s="6"/>
      <c r="AA400" s="6"/>
      <c r="AB400" s="6">
        <v>45428.7600347222</v>
      </c>
      <c r="AC400" s="6" t="s">
        <v>269</v>
      </c>
    </row>
    <row r="401" s="1" customFormat="1" ht="17.25" customHeight="1" spans="1:29">
      <c r="A401" s="5" t="s">
        <v>2073</v>
      </c>
      <c r="B401" s="5" t="s">
        <v>389</v>
      </c>
      <c r="C401" s="5" t="s">
        <v>259</v>
      </c>
      <c r="D401" s="5" t="s">
        <v>27</v>
      </c>
      <c r="E401" s="5"/>
      <c r="F401" s="5" t="s">
        <v>389</v>
      </c>
      <c r="G401" s="5" t="s">
        <v>261</v>
      </c>
      <c r="H401" s="5" t="s">
        <v>2074</v>
      </c>
      <c r="I401" s="5" t="s">
        <v>2073</v>
      </c>
      <c r="J401" s="5" t="s">
        <v>1515</v>
      </c>
      <c r="K401" s="5" t="s">
        <v>1516</v>
      </c>
      <c r="L401" s="5" t="s">
        <v>2075</v>
      </c>
      <c r="M401" s="5"/>
      <c r="N401" s="5" t="s">
        <v>2076</v>
      </c>
      <c r="O401" s="5"/>
      <c r="P401" s="5"/>
      <c r="Q401" s="5" t="s">
        <v>2077</v>
      </c>
      <c r="R401" s="5"/>
      <c r="S401" s="5"/>
      <c r="T401" s="5"/>
      <c r="U401" s="5" t="s">
        <v>268</v>
      </c>
      <c r="V401" s="5" t="s">
        <v>269</v>
      </c>
      <c r="W401" s="9">
        <v>45428.7600347222</v>
      </c>
      <c r="X401" s="5"/>
      <c r="Y401" s="5"/>
      <c r="Z401" s="5"/>
      <c r="AA401" s="5"/>
      <c r="AB401" s="5">
        <v>45428.7600347222</v>
      </c>
      <c r="AC401" s="5" t="s">
        <v>269</v>
      </c>
    </row>
    <row r="402" s="1" customFormat="1" ht="17.25" customHeight="1" spans="1:29">
      <c r="A402" s="6" t="s">
        <v>2078</v>
      </c>
      <c r="B402" s="6" t="s">
        <v>389</v>
      </c>
      <c r="C402" s="6" t="s">
        <v>259</v>
      </c>
      <c r="D402" s="6" t="s">
        <v>27</v>
      </c>
      <c r="E402" s="6"/>
      <c r="F402" s="6" t="s">
        <v>389</v>
      </c>
      <c r="G402" s="6" t="s">
        <v>261</v>
      </c>
      <c r="H402" s="6" t="s">
        <v>2079</v>
      </c>
      <c r="I402" s="6" t="s">
        <v>2078</v>
      </c>
      <c r="J402" s="6" t="s">
        <v>530</v>
      </c>
      <c r="K402" s="6" t="s">
        <v>531</v>
      </c>
      <c r="L402" s="6" t="s">
        <v>2080</v>
      </c>
      <c r="M402" s="6"/>
      <c r="N402" s="6" t="s">
        <v>2081</v>
      </c>
      <c r="O402" s="6"/>
      <c r="P402" s="6"/>
      <c r="Q402" s="6" t="s">
        <v>2082</v>
      </c>
      <c r="R402" s="6"/>
      <c r="S402" s="6"/>
      <c r="T402" s="6"/>
      <c r="U402" s="6" t="s">
        <v>268</v>
      </c>
      <c r="V402" s="6" t="s">
        <v>269</v>
      </c>
      <c r="W402" s="10">
        <v>45428.7600347222</v>
      </c>
      <c r="X402" s="6"/>
      <c r="Y402" s="6"/>
      <c r="Z402" s="6"/>
      <c r="AA402" s="6"/>
      <c r="AB402" s="6">
        <v>45428.7600347222</v>
      </c>
      <c r="AC402" s="6" t="s">
        <v>269</v>
      </c>
    </row>
    <row r="403" s="1" customFormat="1" ht="17.25" customHeight="1" spans="1:29">
      <c r="A403" s="5" t="s">
        <v>2083</v>
      </c>
      <c r="B403" s="5" t="s">
        <v>389</v>
      </c>
      <c r="C403" s="5" t="s">
        <v>259</v>
      </c>
      <c r="D403" s="5" t="s">
        <v>27</v>
      </c>
      <c r="E403" s="5"/>
      <c r="F403" s="5" t="s">
        <v>389</v>
      </c>
      <c r="G403" s="5" t="s">
        <v>261</v>
      </c>
      <c r="H403" s="5" t="s">
        <v>2084</v>
      </c>
      <c r="I403" s="5" t="s">
        <v>2083</v>
      </c>
      <c r="J403" s="5" t="s">
        <v>530</v>
      </c>
      <c r="K403" s="5" t="s">
        <v>531</v>
      </c>
      <c r="L403" s="5" t="s">
        <v>2080</v>
      </c>
      <c r="M403" s="5"/>
      <c r="N403" s="5" t="s">
        <v>2085</v>
      </c>
      <c r="O403" s="5"/>
      <c r="P403" s="5"/>
      <c r="Q403" s="5" t="s">
        <v>2082</v>
      </c>
      <c r="R403" s="5"/>
      <c r="S403" s="5"/>
      <c r="T403" s="5"/>
      <c r="U403" s="5" t="s">
        <v>268</v>
      </c>
      <c r="V403" s="5" t="s">
        <v>269</v>
      </c>
      <c r="W403" s="9">
        <v>45428.7600347222</v>
      </c>
      <c r="X403" s="5"/>
      <c r="Y403" s="5"/>
      <c r="Z403" s="5"/>
      <c r="AA403" s="5"/>
      <c r="AB403" s="5">
        <v>45428.7600347222</v>
      </c>
      <c r="AC403" s="5" t="s">
        <v>269</v>
      </c>
    </row>
    <row r="404" s="1" customFormat="1" ht="17.25" customHeight="1" spans="1:29">
      <c r="A404" s="6" t="s">
        <v>2086</v>
      </c>
      <c r="B404" s="6" t="s">
        <v>389</v>
      </c>
      <c r="C404" s="6" t="s">
        <v>259</v>
      </c>
      <c r="D404" s="6" t="s">
        <v>27</v>
      </c>
      <c r="E404" s="6"/>
      <c r="F404" s="6" t="s">
        <v>389</v>
      </c>
      <c r="G404" s="6" t="s">
        <v>261</v>
      </c>
      <c r="H404" s="6" t="s">
        <v>2087</v>
      </c>
      <c r="I404" s="6" t="s">
        <v>2086</v>
      </c>
      <c r="J404" s="6" t="s">
        <v>1515</v>
      </c>
      <c r="K404" s="6" t="s">
        <v>1516</v>
      </c>
      <c r="L404" s="6" t="s">
        <v>2088</v>
      </c>
      <c r="M404" s="6"/>
      <c r="N404" s="6" t="s">
        <v>2089</v>
      </c>
      <c r="O404" s="6"/>
      <c r="P404" s="6"/>
      <c r="Q404" s="6" t="s">
        <v>2090</v>
      </c>
      <c r="R404" s="6"/>
      <c r="S404" s="6"/>
      <c r="T404" s="6"/>
      <c r="U404" s="6" t="s">
        <v>268</v>
      </c>
      <c r="V404" s="6" t="s">
        <v>269</v>
      </c>
      <c r="W404" s="10">
        <v>45428.7600347222</v>
      </c>
      <c r="X404" s="6"/>
      <c r="Y404" s="6"/>
      <c r="Z404" s="6"/>
      <c r="AA404" s="6"/>
      <c r="AB404" s="6">
        <v>45428.7600347222</v>
      </c>
      <c r="AC404" s="6" t="s">
        <v>269</v>
      </c>
    </row>
    <row r="405" s="1" customFormat="1" ht="17.25" customHeight="1" spans="1:29">
      <c r="A405" s="5" t="s">
        <v>2091</v>
      </c>
      <c r="B405" s="5" t="s">
        <v>389</v>
      </c>
      <c r="C405" s="5" t="s">
        <v>259</v>
      </c>
      <c r="D405" s="5" t="s">
        <v>27</v>
      </c>
      <c r="E405" s="5"/>
      <c r="F405" s="5" t="s">
        <v>389</v>
      </c>
      <c r="G405" s="5" t="s">
        <v>261</v>
      </c>
      <c r="H405" s="5" t="s">
        <v>2092</v>
      </c>
      <c r="I405" s="5" t="s">
        <v>2091</v>
      </c>
      <c r="J405" s="5" t="s">
        <v>797</v>
      </c>
      <c r="K405" s="5" t="s">
        <v>798</v>
      </c>
      <c r="L405" s="5" t="s">
        <v>2093</v>
      </c>
      <c r="M405" s="5"/>
      <c r="N405" s="5" t="s">
        <v>2094</v>
      </c>
      <c r="O405" s="5"/>
      <c r="P405" s="5"/>
      <c r="Q405" s="5" t="s">
        <v>2095</v>
      </c>
      <c r="R405" s="5"/>
      <c r="S405" s="5"/>
      <c r="T405" s="5"/>
      <c r="U405" s="5" t="s">
        <v>268</v>
      </c>
      <c r="V405" s="5" t="s">
        <v>269</v>
      </c>
      <c r="W405" s="9">
        <v>45428.7600347222</v>
      </c>
      <c r="X405" s="5"/>
      <c r="Y405" s="5"/>
      <c r="Z405" s="5"/>
      <c r="AA405" s="5"/>
      <c r="AB405" s="5">
        <v>45428.7600347222</v>
      </c>
      <c r="AC405" s="5" t="s">
        <v>269</v>
      </c>
    </row>
    <row r="406" s="1" customFormat="1" ht="17.25" customHeight="1" spans="1:29">
      <c r="A406" s="6" t="s">
        <v>2096</v>
      </c>
      <c r="B406" s="6" t="s">
        <v>35</v>
      </c>
      <c r="C406" s="6" t="s">
        <v>259</v>
      </c>
      <c r="D406" s="6" t="s">
        <v>940</v>
      </c>
      <c r="E406" s="6"/>
      <c r="F406" s="6" t="s">
        <v>35</v>
      </c>
      <c r="G406" s="6" t="s">
        <v>261</v>
      </c>
      <c r="H406" s="6" t="s">
        <v>2097</v>
      </c>
      <c r="I406" s="6" t="s">
        <v>2096</v>
      </c>
      <c r="J406" s="6" t="s">
        <v>338</v>
      </c>
      <c r="K406" s="6" t="s">
        <v>339</v>
      </c>
      <c r="L406" s="6" t="s">
        <v>2098</v>
      </c>
      <c r="M406" s="6"/>
      <c r="N406" s="6"/>
      <c r="O406" s="6"/>
      <c r="P406" s="6"/>
      <c r="Q406" s="6"/>
      <c r="R406" s="6"/>
      <c r="S406" s="6"/>
      <c r="T406" s="6"/>
      <c r="U406" s="6"/>
      <c r="V406" s="6" t="s">
        <v>270</v>
      </c>
      <c r="W406" s="10">
        <v>45693.7779282407</v>
      </c>
      <c r="X406" s="6"/>
      <c r="Y406" s="6"/>
      <c r="Z406" s="6"/>
      <c r="AA406" s="6"/>
      <c r="AB406" s="6">
        <v>45524.7753819444</v>
      </c>
      <c r="AC406" s="6" t="s">
        <v>270</v>
      </c>
    </row>
    <row r="407" s="1" customFormat="1" ht="17.25" customHeight="1" spans="1:29">
      <c r="A407" s="5" t="s">
        <v>2099</v>
      </c>
      <c r="B407" s="5" t="s">
        <v>389</v>
      </c>
      <c r="C407" s="5" t="s">
        <v>259</v>
      </c>
      <c r="D407" s="5" t="s">
        <v>27</v>
      </c>
      <c r="E407" s="5"/>
      <c r="F407" s="5" t="s">
        <v>389</v>
      </c>
      <c r="G407" s="5" t="s">
        <v>261</v>
      </c>
      <c r="H407" s="5" t="s">
        <v>2100</v>
      </c>
      <c r="I407" s="5" t="s">
        <v>2099</v>
      </c>
      <c r="J407" s="5" t="s">
        <v>364</v>
      </c>
      <c r="K407" s="5" t="s">
        <v>365</v>
      </c>
      <c r="L407" s="5" t="s">
        <v>2101</v>
      </c>
      <c r="M407" s="5"/>
      <c r="N407" s="5" t="s">
        <v>2102</v>
      </c>
      <c r="O407" s="5"/>
      <c r="P407" s="5"/>
      <c r="Q407" s="5" t="s">
        <v>1288</v>
      </c>
      <c r="R407" s="5"/>
      <c r="S407" s="5"/>
      <c r="T407" s="5"/>
      <c r="U407" s="5" t="s">
        <v>268</v>
      </c>
      <c r="V407" s="5" t="s">
        <v>269</v>
      </c>
      <c r="W407" s="9">
        <v>45428.7600347222</v>
      </c>
      <c r="X407" s="5"/>
      <c r="Y407" s="5"/>
      <c r="Z407" s="5"/>
      <c r="AA407" s="5"/>
      <c r="AB407" s="5">
        <v>45428.7600347222</v>
      </c>
      <c r="AC407" s="5" t="s">
        <v>269</v>
      </c>
    </row>
    <row r="408" s="1" customFormat="1" ht="17.25" customHeight="1" spans="1:29">
      <c r="A408" s="6" t="s">
        <v>2103</v>
      </c>
      <c r="B408" s="6" t="s">
        <v>389</v>
      </c>
      <c r="C408" s="6" t="s">
        <v>259</v>
      </c>
      <c r="D408" s="6" t="s">
        <v>27</v>
      </c>
      <c r="E408" s="6"/>
      <c r="F408" s="6" t="s">
        <v>389</v>
      </c>
      <c r="G408" s="6" t="s">
        <v>261</v>
      </c>
      <c r="H408" s="6" t="s">
        <v>2104</v>
      </c>
      <c r="I408" s="6" t="s">
        <v>2103</v>
      </c>
      <c r="J408" s="6" t="s">
        <v>364</v>
      </c>
      <c r="K408" s="6" t="s">
        <v>365</v>
      </c>
      <c r="L408" s="6" t="s">
        <v>2105</v>
      </c>
      <c r="M408" s="6"/>
      <c r="N408" s="6" t="s">
        <v>2106</v>
      </c>
      <c r="O408" s="6"/>
      <c r="P408" s="6"/>
      <c r="Q408" s="6" t="s">
        <v>2107</v>
      </c>
      <c r="R408" s="6"/>
      <c r="S408" s="6"/>
      <c r="T408" s="6"/>
      <c r="U408" s="6" t="s">
        <v>268</v>
      </c>
      <c r="V408" s="6" t="s">
        <v>269</v>
      </c>
      <c r="W408" s="10">
        <v>45428.7600347222</v>
      </c>
      <c r="X408" s="6"/>
      <c r="Y408" s="6"/>
      <c r="Z408" s="6"/>
      <c r="AA408" s="6"/>
      <c r="AB408" s="6">
        <v>45428.7600347222</v>
      </c>
      <c r="AC408" s="6" t="s">
        <v>269</v>
      </c>
    </row>
    <row r="409" s="1" customFormat="1" ht="17.25" customHeight="1" spans="1:29">
      <c r="A409" s="5" t="s">
        <v>2108</v>
      </c>
      <c r="B409" s="5" t="s">
        <v>389</v>
      </c>
      <c r="C409" s="5" t="s">
        <v>259</v>
      </c>
      <c r="D409" s="5" t="s">
        <v>27</v>
      </c>
      <c r="E409" s="5"/>
      <c r="F409" s="5" t="s">
        <v>389</v>
      </c>
      <c r="G409" s="5" t="s">
        <v>261</v>
      </c>
      <c r="H409" s="5" t="s">
        <v>2109</v>
      </c>
      <c r="I409" s="5" t="s">
        <v>2108</v>
      </c>
      <c r="J409" s="5" t="s">
        <v>364</v>
      </c>
      <c r="K409" s="5" t="s">
        <v>365</v>
      </c>
      <c r="L409" s="5" t="s">
        <v>2110</v>
      </c>
      <c r="M409" s="5"/>
      <c r="N409" s="5" t="s">
        <v>2111</v>
      </c>
      <c r="O409" s="5"/>
      <c r="P409" s="5"/>
      <c r="Q409" s="5" t="s">
        <v>2112</v>
      </c>
      <c r="R409" s="5"/>
      <c r="S409" s="5"/>
      <c r="T409" s="5"/>
      <c r="U409" s="5" t="s">
        <v>268</v>
      </c>
      <c r="V409" s="5" t="s">
        <v>269</v>
      </c>
      <c r="W409" s="9">
        <v>45428.7600347222</v>
      </c>
      <c r="X409" s="5"/>
      <c r="Y409" s="5"/>
      <c r="Z409" s="5"/>
      <c r="AA409" s="5"/>
      <c r="AB409" s="5">
        <v>45428.7600347222</v>
      </c>
      <c r="AC409" s="5" t="s">
        <v>269</v>
      </c>
    </row>
    <row r="410" s="1" customFormat="1" ht="17.25" customHeight="1" spans="1:29">
      <c r="A410" s="6" t="s">
        <v>2113</v>
      </c>
      <c r="B410" s="6" t="s">
        <v>389</v>
      </c>
      <c r="C410" s="6" t="s">
        <v>259</v>
      </c>
      <c r="D410" s="6" t="s">
        <v>27</v>
      </c>
      <c r="E410" s="6"/>
      <c r="F410" s="6" t="s">
        <v>389</v>
      </c>
      <c r="G410" s="6" t="s">
        <v>261</v>
      </c>
      <c r="H410" s="6" t="s">
        <v>2114</v>
      </c>
      <c r="I410" s="6" t="s">
        <v>2113</v>
      </c>
      <c r="J410" s="6" t="s">
        <v>364</v>
      </c>
      <c r="K410" s="6" t="s">
        <v>365</v>
      </c>
      <c r="L410" s="6" t="s">
        <v>2115</v>
      </c>
      <c r="M410" s="6"/>
      <c r="N410" s="6" t="s">
        <v>2116</v>
      </c>
      <c r="O410" s="6"/>
      <c r="P410" s="6"/>
      <c r="Q410" s="6" t="s">
        <v>2117</v>
      </c>
      <c r="R410" s="6"/>
      <c r="S410" s="6"/>
      <c r="T410" s="6"/>
      <c r="U410" s="6" t="s">
        <v>268</v>
      </c>
      <c r="V410" s="6" t="s">
        <v>269</v>
      </c>
      <c r="W410" s="10">
        <v>45428.7600347222</v>
      </c>
      <c r="X410" s="6"/>
      <c r="Y410" s="6"/>
      <c r="Z410" s="6"/>
      <c r="AA410" s="6"/>
      <c r="AB410" s="6">
        <v>45428.7600347222</v>
      </c>
      <c r="AC410" s="6" t="s">
        <v>269</v>
      </c>
    </row>
    <row r="411" s="1" customFormat="1" ht="17.25" customHeight="1" spans="1:29">
      <c r="A411" s="5" t="s">
        <v>2118</v>
      </c>
      <c r="B411" s="5" t="s">
        <v>389</v>
      </c>
      <c r="C411" s="5" t="s">
        <v>259</v>
      </c>
      <c r="D411" s="5" t="s">
        <v>27</v>
      </c>
      <c r="E411" s="5"/>
      <c r="F411" s="5" t="s">
        <v>389</v>
      </c>
      <c r="G411" s="5" t="s">
        <v>261</v>
      </c>
      <c r="H411" s="5" t="s">
        <v>2119</v>
      </c>
      <c r="I411" s="5" t="s">
        <v>2118</v>
      </c>
      <c r="J411" s="5" t="s">
        <v>350</v>
      </c>
      <c r="K411" s="5" t="s">
        <v>351</v>
      </c>
      <c r="L411" s="5" t="s">
        <v>2120</v>
      </c>
      <c r="M411" s="5"/>
      <c r="N411" s="5" t="s">
        <v>2121</v>
      </c>
      <c r="O411" s="5"/>
      <c r="P411" s="5"/>
      <c r="Q411" s="5" t="s">
        <v>2122</v>
      </c>
      <c r="R411" s="5"/>
      <c r="S411" s="5"/>
      <c r="T411" s="5"/>
      <c r="U411" s="5" t="s">
        <v>268</v>
      </c>
      <c r="V411" s="5" t="s">
        <v>269</v>
      </c>
      <c r="W411" s="9">
        <v>45428.7600347222</v>
      </c>
      <c r="X411" s="5"/>
      <c r="Y411" s="5"/>
      <c r="Z411" s="5"/>
      <c r="AA411" s="5"/>
      <c r="AB411" s="5">
        <v>45428.7600347222</v>
      </c>
      <c r="AC411" s="5" t="s">
        <v>269</v>
      </c>
    </row>
    <row r="412" s="1" customFormat="1" ht="17.25" customHeight="1" spans="1:29">
      <c r="A412" s="6" t="s">
        <v>2123</v>
      </c>
      <c r="B412" s="6" t="s">
        <v>389</v>
      </c>
      <c r="C412" s="6" t="s">
        <v>259</v>
      </c>
      <c r="D412" s="6" t="s">
        <v>27</v>
      </c>
      <c r="E412" s="6"/>
      <c r="F412" s="6" t="s">
        <v>389</v>
      </c>
      <c r="G412" s="6" t="s">
        <v>261</v>
      </c>
      <c r="H412" s="6" t="s">
        <v>2124</v>
      </c>
      <c r="I412" s="6" t="s">
        <v>2123</v>
      </c>
      <c r="J412" s="6" t="s">
        <v>350</v>
      </c>
      <c r="K412" s="6" t="s">
        <v>351</v>
      </c>
      <c r="L412" s="6" t="s">
        <v>456</v>
      </c>
      <c r="M412" s="6"/>
      <c r="N412" s="6" t="s">
        <v>2125</v>
      </c>
      <c r="O412" s="6"/>
      <c r="P412" s="6"/>
      <c r="Q412" s="6" t="s">
        <v>458</v>
      </c>
      <c r="R412" s="6"/>
      <c r="S412" s="6"/>
      <c r="T412" s="6"/>
      <c r="U412" s="6" t="s">
        <v>268</v>
      </c>
      <c r="V412" s="6" t="s">
        <v>269</v>
      </c>
      <c r="W412" s="10">
        <v>45428.7600347222</v>
      </c>
      <c r="X412" s="6"/>
      <c r="Y412" s="6"/>
      <c r="Z412" s="6"/>
      <c r="AA412" s="6"/>
      <c r="AB412" s="6">
        <v>45428.7600347222</v>
      </c>
      <c r="AC412" s="6" t="s">
        <v>269</v>
      </c>
    </row>
    <row r="413" s="1" customFormat="1" ht="17.25" customHeight="1" spans="1:29">
      <c r="A413" s="5" t="s">
        <v>2126</v>
      </c>
      <c r="B413" s="5" t="s">
        <v>389</v>
      </c>
      <c r="C413" s="5" t="s">
        <v>259</v>
      </c>
      <c r="D413" s="5" t="s">
        <v>27</v>
      </c>
      <c r="E413" s="5"/>
      <c r="F413" s="5" t="s">
        <v>389</v>
      </c>
      <c r="G413" s="5" t="s">
        <v>261</v>
      </c>
      <c r="H413" s="5" t="s">
        <v>2127</v>
      </c>
      <c r="I413" s="5" t="s">
        <v>2126</v>
      </c>
      <c r="J413" s="5" t="s">
        <v>350</v>
      </c>
      <c r="K413" s="5" t="s">
        <v>351</v>
      </c>
      <c r="L413" s="5" t="s">
        <v>2128</v>
      </c>
      <c r="M413" s="5"/>
      <c r="N413" s="5" t="s">
        <v>2129</v>
      </c>
      <c r="O413" s="5"/>
      <c r="P413" s="5"/>
      <c r="Q413" s="5" t="s">
        <v>2130</v>
      </c>
      <c r="R413" s="5"/>
      <c r="S413" s="5"/>
      <c r="T413" s="5"/>
      <c r="U413" s="5" t="s">
        <v>268</v>
      </c>
      <c r="V413" s="5" t="s">
        <v>269</v>
      </c>
      <c r="W413" s="9">
        <v>45428.7600347222</v>
      </c>
      <c r="X413" s="5"/>
      <c r="Y413" s="5"/>
      <c r="Z413" s="5"/>
      <c r="AA413" s="5"/>
      <c r="AB413" s="5">
        <v>45428.7600347222</v>
      </c>
      <c r="AC413" s="5" t="s">
        <v>269</v>
      </c>
    </row>
    <row r="414" s="1" customFormat="1" ht="17.25" customHeight="1" spans="1:29">
      <c r="A414" s="6" t="s">
        <v>2131</v>
      </c>
      <c r="B414" s="6" t="s">
        <v>389</v>
      </c>
      <c r="C414" s="6" t="s">
        <v>259</v>
      </c>
      <c r="D414" s="6" t="s">
        <v>27</v>
      </c>
      <c r="E414" s="6"/>
      <c r="F414" s="6" t="s">
        <v>389</v>
      </c>
      <c r="G414" s="6" t="s">
        <v>261</v>
      </c>
      <c r="H414" s="6" t="s">
        <v>2132</v>
      </c>
      <c r="I414" s="6" t="s">
        <v>2131</v>
      </c>
      <c r="J414" s="6" t="s">
        <v>350</v>
      </c>
      <c r="K414" s="6" t="s">
        <v>351</v>
      </c>
      <c r="L414" s="6" t="s">
        <v>2133</v>
      </c>
      <c r="M414" s="6"/>
      <c r="N414" s="6" t="s">
        <v>2134</v>
      </c>
      <c r="O414" s="6"/>
      <c r="P414" s="6"/>
      <c r="Q414" s="6" t="s">
        <v>2135</v>
      </c>
      <c r="R414" s="6"/>
      <c r="S414" s="6"/>
      <c r="T414" s="6"/>
      <c r="U414" s="6" t="s">
        <v>268</v>
      </c>
      <c r="V414" s="6" t="s">
        <v>269</v>
      </c>
      <c r="W414" s="10">
        <v>45428.7600347222</v>
      </c>
      <c r="X414" s="6"/>
      <c r="Y414" s="6"/>
      <c r="Z414" s="6"/>
      <c r="AA414" s="6"/>
      <c r="AB414" s="6">
        <v>45428.7600347222</v>
      </c>
      <c r="AC414" s="6" t="s">
        <v>269</v>
      </c>
    </row>
    <row r="415" s="1" customFormat="1" ht="17.25" customHeight="1" spans="1:29">
      <c r="A415" s="5" t="s">
        <v>2136</v>
      </c>
      <c r="B415" s="5" t="s">
        <v>389</v>
      </c>
      <c r="C415" s="5" t="s">
        <v>259</v>
      </c>
      <c r="D415" s="5" t="s">
        <v>27</v>
      </c>
      <c r="E415" s="5"/>
      <c r="F415" s="5" t="s">
        <v>389</v>
      </c>
      <c r="G415" s="5" t="s">
        <v>261</v>
      </c>
      <c r="H415" s="5" t="s">
        <v>2137</v>
      </c>
      <c r="I415" s="5" t="s">
        <v>2136</v>
      </c>
      <c r="J415" s="5" t="s">
        <v>364</v>
      </c>
      <c r="K415" s="5" t="s">
        <v>365</v>
      </c>
      <c r="L415" s="5" t="s">
        <v>2138</v>
      </c>
      <c r="M415" s="5"/>
      <c r="N415" s="5" t="s">
        <v>2139</v>
      </c>
      <c r="O415" s="5"/>
      <c r="P415" s="5"/>
      <c r="Q415" s="5" t="s">
        <v>2112</v>
      </c>
      <c r="R415" s="5"/>
      <c r="S415" s="5"/>
      <c r="T415" s="5"/>
      <c r="U415" s="5" t="s">
        <v>268</v>
      </c>
      <c r="V415" s="5" t="s">
        <v>269</v>
      </c>
      <c r="W415" s="9">
        <v>45428.7600347222</v>
      </c>
      <c r="X415" s="5"/>
      <c r="Y415" s="5"/>
      <c r="Z415" s="5"/>
      <c r="AA415" s="5"/>
      <c r="AB415" s="5">
        <v>45428.7600347222</v>
      </c>
      <c r="AC415" s="5" t="s">
        <v>269</v>
      </c>
    </row>
    <row r="416" s="1" customFormat="1" ht="17.25" customHeight="1" spans="1:29">
      <c r="A416" s="6" t="s">
        <v>2140</v>
      </c>
      <c r="B416" s="6" t="s">
        <v>389</v>
      </c>
      <c r="C416" s="6" t="s">
        <v>259</v>
      </c>
      <c r="D416" s="6" t="s">
        <v>27</v>
      </c>
      <c r="E416" s="6"/>
      <c r="F416" s="6" t="s">
        <v>389</v>
      </c>
      <c r="G416" s="6" t="s">
        <v>261</v>
      </c>
      <c r="H416" s="6" t="s">
        <v>2141</v>
      </c>
      <c r="I416" s="6" t="s">
        <v>2140</v>
      </c>
      <c r="J416" s="6" t="s">
        <v>324</v>
      </c>
      <c r="K416" s="6" t="s">
        <v>325</v>
      </c>
      <c r="L416" s="6" t="s">
        <v>2142</v>
      </c>
      <c r="M416" s="6"/>
      <c r="N416" s="6" t="s">
        <v>2143</v>
      </c>
      <c r="O416" s="6"/>
      <c r="P416" s="6"/>
      <c r="Q416" s="6" t="s">
        <v>2144</v>
      </c>
      <c r="R416" s="6"/>
      <c r="S416" s="6"/>
      <c r="T416" s="6"/>
      <c r="U416" s="6" t="s">
        <v>268</v>
      </c>
      <c r="V416" s="6" t="s">
        <v>269</v>
      </c>
      <c r="W416" s="10">
        <v>45428.7600347222</v>
      </c>
      <c r="X416" s="6"/>
      <c r="Y416" s="6"/>
      <c r="Z416" s="6"/>
      <c r="AA416" s="6"/>
      <c r="AB416" s="6">
        <v>45428.7600347222</v>
      </c>
      <c r="AC416" s="6" t="s">
        <v>269</v>
      </c>
    </row>
    <row r="417" s="1" customFormat="1" ht="17.25" customHeight="1" spans="1:29">
      <c r="A417" s="5" t="s">
        <v>2145</v>
      </c>
      <c r="B417" s="5" t="s">
        <v>389</v>
      </c>
      <c r="C417" s="5" t="s">
        <v>259</v>
      </c>
      <c r="D417" s="5" t="s">
        <v>27</v>
      </c>
      <c r="E417" s="5"/>
      <c r="F417" s="5" t="s">
        <v>389</v>
      </c>
      <c r="G417" s="5" t="s">
        <v>261</v>
      </c>
      <c r="H417" s="5" t="s">
        <v>2146</v>
      </c>
      <c r="I417" s="5" t="s">
        <v>2145</v>
      </c>
      <c r="J417" s="5" t="s">
        <v>1647</v>
      </c>
      <c r="K417" s="5" t="s">
        <v>1648</v>
      </c>
      <c r="L417" s="5" t="s">
        <v>2147</v>
      </c>
      <c r="M417" s="5"/>
      <c r="N417" s="5" t="s">
        <v>2148</v>
      </c>
      <c r="O417" s="5"/>
      <c r="P417" s="5"/>
      <c r="Q417" s="5" t="s">
        <v>2149</v>
      </c>
      <c r="R417" s="5"/>
      <c r="S417" s="5"/>
      <c r="T417" s="5"/>
      <c r="U417" s="5" t="s">
        <v>268</v>
      </c>
      <c r="V417" s="5" t="s">
        <v>269</v>
      </c>
      <c r="W417" s="9">
        <v>45428.7600347222</v>
      </c>
      <c r="X417" s="5"/>
      <c r="Y417" s="5"/>
      <c r="Z417" s="5"/>
      <c r="AA417" s="5"/>
      <c r="AB417" s="5">
        <v>45428.7600347222</v>
      </c>
      <c r="AC417" s="5" t="s">
        <v>269</v>
      </c>
    </row>
    <row r="418" s="1" customFormat="1" ht="17.25" customHeight="1" spans="1:29">
      <c r="A418" s="6" t="s">
        <v>2150</v>
      </c>
      <c r="B418" s="6" t="s">
        <v>389</v>
      </c>
      <c r="C418" s="6" t="s">
        <v>259</v>
      </c>
      <c r="D418" s="6" t="s">
        <v>27</v>
      </c>
      <c r="E418" s="6"/>
      <c r="F418" s="6" t="s">
        <v>389</v>
      </c>
      <c r="G418" s="6" t="s">
        <v>261</v>
      </c>
      <c r="H418" s="6" t="s">
        <v>2151</v>
      </c>
      <c r="I418" s="6" t="s">
        <v>2150</v>
      </c>
      <c r="J418" s="6" t="s">
        <v>422</v>
      </c>
      <c r="K418" s="6" t="s">
        <v>423</v>
      </c>
      <c r="L418" s="6" t="s">
        <v>2152</v>
      </c>
      <c r="M418" s="6"/>
      <c r="N418" s="6" t="s">
        <v>2153</v>
      </c>
      <c r="O418" s="6"/>
      <c r="P418" s="6"/>
      <c r="Q418" s="6" t="s">
        <v>2154</v>
      </c>
      <c r="R418" s="6"/>
      <c r="S418" s="6"/>
      <c r="T418" s="6"/>
      <c r="U418" s="6" t="s">
        <v>268</v>
      </c>
      <c r="V418" s="6" t="s">
        <v>269</v>
      </c>
      <c r="W418" s="10">
        <v>45428.7600347222</v>
      </c>
      <c r="X418" s="6"/>
      <c r="Y418" s="6"/>
      <c r="Z418" s="6"/>
      <c r="AA418" s="6"/>
      <c r="AB418" s="6">
        <v>45428.7600347222</v>
      </c>
      <c r="AC418" s="6" t="s">
        <v>269</v>
      </c>
    </row>
    <row r="419" s="1" customFormat="1" ht="17.25" customHeight="1" spans="1:29">
      <c r="A419" s="5" t="s">
        <v>2155</v>
      </c>
      <c r="B419" s="5" t="s">
        <v>389</v>
      </c>
      <c r="C419" s="5" t="s">
        <v>259</v>
      </c>
      <c r="D419" s="5" t="s">
        <v>27</v>
      </c>
      <c r="E419" s="5"/>
      <c r="F419" s="5" t="s">
        <v>389</v>
      </c>
      <c r="G419" s="5" t="s">
        <v>261</v>
      </c>
      <c r="H419" s="5" t="s">
        <v>2156</v>
      </c>
      <c r="I419" s="5" t="s">
        <v>2155</v>
      </c>
      <c r="J419" s="5" t="s">
        <v>695</v>
      </c>
      <c r="K419" s="5" t="s">
        <v>696</v>
      </c>
      <c r="L419" s="5" t="s">
        <v>1291</v>
      </c>
      <c r="M419" s="5"/>
      <c r="N419" s="5" t="s">
        <v>2157</v>
      </c>
      <c r="O419" s="5"/>
      <c r="P419" s="5"/>
      <c r="Q419" s="5" t="s">
        <v>2158</v>
      </c>
      <c r="R419" s="5"/>
      <c r="S419" s="5"/>
      <c r="T419" s="5"/>
      <c r="U419" s="5" t="s">
        <v>268</v>
      </c>
      <c r="V419" s="5" t="s">
        <v>269</v>
      </c>
      <c r="W419" s="9">
        <v>45428.7600347222</v>
      </c>
      <c r="X419" s="5"/>
      <c r="Y419" s="5"/>
      <c r="Z419" s="5"/>
      <c r="AA419" s="5"/>
      <c r="AB419" s="5">
        <v>45428.7600347222</v>
      </c>
      <c r="AC419" s="5" t="s">
        <v>269</v>
      </c>
    </row>
    <row r="420" s="1" customFormat="1" ht="17.25" customHeight="1" spans="1:29">
      <c r="A420" s="6" t="s">
        <v>2159</v>
      </c>
      <c r="B420" s="6" t="s">
        <v>389</v>
      </c>
      <c r="C420" s="6" t="s">
        <v>259</v>
      </c>
      <c r="D420" s="6" t="s">
        <v>27</v>
      </c>
      <c r="E420" s="6"/>
      <c r="F420" s="6" t="s">
        <v>389</v>
      </c>
      <c r="G420" s="6" t="s">
        <v>261</v>
      </c>
      <c r="H420" s="6" t="s">
        <v>2160</v>
      </c>
      <c r="I420" s="6" t="s">
        <v>2159</v>
      </c>
      <c r="J420" s="6" t="s">
        <v>378</v>
      </c>
      <c r="K420" s="6" t="s">
        <v>379</v>
      </c>
      <c r="L420" s="6" t="s">
        <v>2161</v>
      </c>
      <c r="M420" s="6"/>
      <c r="N420" s="6" t="s">
        <v>2162</v>
      </c>
      <c r="O420" s="6"/>
      <c r="P420" s="6"/>
      <c r="Q420" s="6" t="s">
        <v>2163</v>
      </c>
      <c r="R420" s="6"/>
      <c r="S420" s="6"/>
      <c r="T420" s="6"/>
      <c r="U420" s="6" t="s">
        <v>268</v>
      </c>
      <c r="V420" s="6" t="s">
        <v>269</v>
      </c>
      <c r="W420" s="10">
        <v>45428.7600347222</v>
      </c>
      <c r="X420" s="6"/>
      <c r="Y420" s="6"/>
      <c r="Z420" s="6"/>
      <c r="AA420" s="6"/>
      <c r="AB420" s="6">
        <v>45428.7600347222</v>
      </c>
      <c r="AC420" s="6" t="s">
        <v>269</v>
      </c>
    </row>
    <row r="421" s="1" customFormat="1" ht="17.25" customHeight="1" spans="1:29">
      <c r="A421" s="5" t="s">
        <v>2164</v>
      </c>
      <c r="B421" s="5" t="s">
        <v>389</v>
      </c>
      <c r="C421" s="5" t="s">
        <v>259</v>
      </c>
      <c r="D421" s="5" t="s">
        <v>27</v>
      </c>
      <c r="E421" s="5"/>
      <c r="F421" s="5" t="s">
        <v>389</v>
      </c>
      <c r="G421" s="5" t="s">
        <v>261</v>
      </c>
      <c r="H421" s="5" t="s">
        <v>2165</v>
      </c>
      <c r="I421" s="5" t="s">
        <v>2164</v>
      </c>
      <c r="J421" s="5" t="s">
        <v>378</v>
      </c>
      <c r="K421" s="5" t="s">
        <v>379</v>
      </c>
      <c r="L421" s="5" t="s">
        <v>2166</v>
      </c>
      <c r="M421" s="5"/>
      <c r="N421" s="5" t="s">
        <v>2167</v>
      </c>
      <c r="O421" s="5"/>
      <c r="P421" s="5"/>
      <c r="Q421" s="5" t="s">
        <v>2168</v>
      </c>
      <c r="R421" s="5"/>
      <c r="S421" s="5"/>
      <c r="T421" s="5"/>
      <c r="U421" s="5" t="s">
        <v>268</v>
      </c>
      <c r="V421" s="5" t="s">
        <v>269</v>
      </c>
      <c r="W421" s="9">
        <v>45428.7600347222</v>
      </c>
      <c r="X421" s="5"/>
      <c r="Y421" s="5"/>
      <c r="Z421" s="5"/>
      <c r="AA421" s="5"/>
      <c r="AB421" s="5">
        <v>45428.7600347222</v>
      </c>
      <c r="AC421" s="5" t="s">
        <v>269</v>
      </c>
    </row>
    <row r="422" s="1" customFormat="1" ht="17.25" customHeight="1" spans="1:29">
      <c r="A422" s="6" t="s">
        <v>2169</v>
      </c>
      <c r="B422" s="6" t="s">
        <v>389</v>
      </c>
      <c r="C422" s="6" t="s">
        <v>259</v>
      </c>
      <c r="D422" s="6" t="s">
        <v>27</v>
      </c>
      <c r="E422" s="6"/>
      <c r="F422" s="6" t="s">
        <v>389</v>
      </c>
      <c r="G422" s="6" t="s">
        <v>261</v>
      </c>
      <c r="H422" s="6" t="s">
        <v>2170</v>
      </c>
      <c r="I422" s="6" t="s">
        <v>2169</v>
      </c>
      <c r="J422" s="6" t="s">
        <v>263</v>
      </c>
      <c r="K422" s="6" t="s">
        <v>264</v>
      </c>
      <c r="L422" s="6" t="s">
        <v>820</v>
      </c>
      <c r="M422" s="6"/>
      <c r="N422" s="6" t="s">
        <v>821</v>
      </c>
      <c r="O422" s="6"/>
      <c r="P422" s="6"/>
      <c r="Q422" s="6" t="s">
        <v>822</v>
      </c>
      <c r="R422" s="6"/>
      <c r="S422" s="6"/>
      <c r="T422" s="6"/>
      <c r="U422" s="6" t="s">
        <v>268</v>
      </c>
      <c r="V422" s="6" t="s">
        <v>269</v>
      </c>
      <c r="W422" s="10">
        <v>45428.7600347222</v>
      </c>
      <c r="X422" s="6"/>
      <c r="Y422" s="6"/>
      <c r="Z422" s="6"/>
      <c r="AA422" s="6"/>
      <c r="AB422" s="6">
        <v>45428.7600347222</v>
      </c>
      <c r="AC422" s="6" t="s">
        <v>269</v>
      </c>
    </row>
    <row r="423" s="1" customFormat="1" ht="17.25" customHeight="1" spans="1:29">
      <c r="A423" s="5" t="s">
        <v>2171</v>
      </c>
      <c r="B423" s="5" t="s">
        <v>389</v>
      </c>
      <c r="C423" s="5" t="s">
        <v>259</v>
      </c>
      <c r="D423" s="5" t="s">
        <v>27</v>
      </c>
      <c r="E423" s="5"/>
      <c r="F423" s="5" t="s">
        <v>389</v>
      </c>
      <c r="G423" s="5" t="s">
        <v>261</v>
      </c>
      <c r="H423" s="5" t="s">
        <v>2172</v>
      </c>
      <c r="I423" s="5" t="s">
        <v>2171</v>
      </c>
      <c r="J423" s="5" t="s">
        <v>338</v>
      </c>
      <c r="K423" s="5" t="s">
        <v>339</v>
      </c>
      <c r="L423" s="5" t="s">
        <v>2173</v>
      </c>
      <c r="M423" s="5"/>
      <c r="N423" s="5" t="s">
        <v>2174</v>
      </c>
      <c r="O423" s="5"/>
      <c r="P423" s="5"/>
      <c r="Q423" s="5" t="s">
        <v>716</v>
      </c>
      <c r="R423" s="5"/>
      <c r="S423" s="5"/>
      <c r="T423" s="5"/>
      <c r="U423" s="5" t="s">
        <v>268</v>
      </c>
      <c r="V423" s="5" t="s">
        <v>269</v>
      </c>
      <c r="W423" s="9">
        <v>45428.7600347222</v>
      </c>
      <c r="X423" s="5"/>
      <c r="Y423" s="5"/>
      <c r="Z423" s="5"/>
      <c r="AA423" s="5"/>
      <c r="AB423" s="5">
        <v>45428.7600347222</v>
      </c>
      <c r="AC423" s="5" t="s">
        <v>269</v>
      </c>
    </row>
    <row r="424" s="1" customFormat="1" ht="17.25" customHeight="1" spans="1:29">
      <c r="A424" s="6" t="s">
        <v>2175</v>
      </c>
      <c r="B424" s="6" t="s">
        <v>389</v>
      </c>
      <c r="C424" s="6" t="s">
        <v>259</v>
      </c>
      <c r="D424" s="6" t="s">
        <v>27</v>
      </c>
      <c r="E424" s="6"/>
      <c r="F424" s="6" t="s">
        <v>389</v>
      </c>
      <c r="G424" s="6" t="s">
        <v>261</v>
      </c>
      <c r="H424" s="6" t="s">
        <v>2176</v>
      </c>
      <c r="I424" s="6" t="s">
        <v>2175</v>
      </c>
      <c r="J424" s="6" t="s">
        <v>338</v>
      </c>
      <c r="K424" s="6" t="s">
        <v>339</v>
      </c>
      <c r="L424" s="6" t="s">
        <v>1135</v>
      </c>
      <c r="M424" s="6"/>
      <c r="N424" s="6" t="s">
        <v>1325</v>
      </c>
      <c r="O424" s="6"/>
      <c r="P424" s="6"/>
      <c r="Q424" s="6" t="s">
        <v>1137</v>
      </c>
      <c r="R424" s="6"/>
      <c r="S424" s="6"/>
      <c r="T424" s="6"/>
      <c r="U424" s="6" t="s">
        <v>268</v>
      </c>
      <c r="V424" s="6" t="s">
        <v>269</v>
      </c>
      <c r="W424" s="10">
        <v>45428.7600347222</v>
      </c>
      <c r="X424" s="6"/>
      <c r="Y424" s="6"/>
      <c r="Z424" s="6"/>
      <c r="AA424" s="6"/>
      <c r="AB424" s="6">
        <v>45428.7600347222</v>
      </c>
      <c r="AC424" s="6" t="s">
        <v>269</v>
      </c>
    </row>
    <row r="425" s="1" customFormat="1" ht="17.25" customHeight="1" spans="1:29">
      <c r="A425" s="5" t="s">
        <v>2177</v>
      </c>
      <c r="B425" s="5" t="s">
        <v>389</v>
      </c>
      <c r="C425" s="5" t="s">
        <v>259</v>
      </c>
      <c r="D425" s="5" t="s">
        <v>27</v>
      </c>
      <c r="E425" s="5"/>
      <c r="F425" s="5" t="s">
        <v>389</v>
      </c>
      <c r="G425" s="5" t="s">
        <v>261</v>
      </c>
      <c r="H425" s="5" t="s">
        <v>2178</v>
      </c>
      <c r="I425" s="5" t="s">
        <v>2177</v>
      </c>
      <c r="J425" s="5" t="s">
        <v>611</v>
      </c>
      <c r="K425" s="5" t="s">
        <v>612</v>
      </c>
      <c r="L425" s="5" t="s">
        <v>2179</v>
      </c>
      <c r="M425" s="5"/>
      <c r="N425" s="5" t="s">
        <v>879</v>
      </c>
      <c r="O425" s="5"/>
      <c r="P425" s="5"/>
      <c r="Q425" s="5" t="s">
        <v>2180</v>
      </c>
      <c r="R425" s="5"/>
      <c r="S425" s="5"/>
      <c r="T425" s="5"/>
      <c r="U425" s="5" t="s">
        <v>268</v>
      </c>
      <c r="V425" s="5" t="s">
        <v>269</v>
      </c>
      <c r="W425" s="9">
        <v>45428.7600347222</v>
      </c>
      <c r="X425" s="5"/>
      <c r="Y425" s="5"/>
      <c r="Z425" s="5"/>
      <c r="AA425" s="5"/>
      <c r="AB425" s="5">
        <v>45428.7600347222</v>
      </c>
      <c r="AC425" s="5" t="s">
        <v>269</v>
      </c>
    </row>
    <row r="426" s="1" customFormat="1" ht="17.25" customHeight="1" spans="1:29">
      <c r="A426" s="6" t="s">
        <v>2181</v>
      </c>
      <c r="B426" s="6" t="s">
        <v>389</v>
      </c>
      <c r="C426" s="6" t="s">
        <v>259</v>
      </c>
      <c r="D426" s="6" t="s">
        <v>27</v>
      </c>
      <c r="E426" s="6"/>
      <c r="F426" s="6" t="s">
        <v>389</v>
      </c>
      <c r="G426" s="6" t="s">
        <v>261</v>
      </c>
      <c r="H426" s="6" t="s">
        <v>2182</v>
      </c>
      <c r="I426" s="6" t="s">
        <v>2181</v>
      </c>
      <c r="J426" s="6" t="s">
        <v>338</v>
      </c>
      <c r="K426" s="6" t="s">
        <v>339</v>
      </c>
      <c r="L426" s="6" t="s">
        <v>2183</v>
      </c>
      <c r="M426" s="6"/>
      <c r="N426" s="6" t="s">
        <v>2184</v>
      </c>
      <c r="O426" s="6"/>
      <c r="P426" s="6"/>
      <c r="Q426" s="6" t="s">
        <v>2185</v>
      </c>
      <c r="R426" s="6"/>
      <c r="S426" s="6"/>
      <c r="T426" s="6"/>
      <c r="U426" s="6" t="s">
        <v>268</v>
      </c>
      <c r="V426" s="6" t="s">
        <v>269</v>
      </c>
      <c r="W426" s="10">
        <v>45428.7600347222</v>
      </c>
      <c r="X426" s="6"/>
      <c r="Y426" s="6"/>
      <c r="Z426" s="6"/>
      <c r="AA426" s="6"/>
      <c r="AB426" s="6">
        <v>45428.7600347222</v>
      </c>
      <c r="AC426" s="6" t="s">
        <v>269</v>
      </c>
    </row>
    <row r="427" s="1" customFormat="1" ht="17.25" customHeight="1" spans="1:29">
      <c r="A427" s="5" t="s">
        <v>2186</v>
      </c>
      <c r="B427" s="5" t="s">
        <v>389</v>
      </c>
      <c r="C427" s="5" t="s">
        <v>259</v>
      </c>
      <c r="D427" s="5" t="s">
        <v>27</v>
      </c>
      <c r="E427" s="5"/>
      <c r="F427" s="5" t="s">
        <v>389</v>
      </c>
      <c r="G427" s="5" t="s">
        <v>261</v>
      </c>
      <c r="H427" s="5" t="s">
        <v>2187</v>
      </c>
      <c r="I427" s="5" t="s">
        <v>2186</v>
      </c>
      <c r="J427" s="5" t="s">
        <v>856</v>
      </c>
      <c r="K427" s="5" t="s">
        <v>857</v>
      </c>
      <c r="L427" s="5" t="s">
        <v>1482</v>
      </c>
      <c r="M427" s="5"/>
      <c r="N427" s="5" t="s">
        <v>1483</v>
      </c>
      <c r="O427" s="5"/>
      <c r="P427" s="5"/>
      <c r="Q427" s="5" t="s">
        <v>1484</v>
      </c>
      <c r="R427" s="5"/>
      <c r="S427" s="5"/>
      <c r="T427" s="5"/>
      <c r="U427" s="5" t="s">
        <v>268</v>
      </c>
      <c r="V427" s="5" t="s">
        <v>269</v>
      </c>
      <c r="W427" s="9">
        <v>45428.7600347222</v>
      </c>
      <c r="X427" s="5"/>
      <c r="Y427" s="5"/>
      <c r="Z427" s="5"/>
      <c r="AA427" s="5"/>
      <c r="AB427" s="5">
        <v>45428.7600347222</v>
      </c>
      <c r="AC427" s="5" t="s">
        <v>269</v>
      </c>
    </row>
    <row r="428" s="1" customFormat="1" ht="17.25" customHeight="1" spans="1:29">
      <c r="A428" s="6" t="s">
        <v>2188</v>
      </c>
      <c r="B428" s="6" t="s">
        <v>389</v>
      </c>
      <c r="C428" s="6" t="s">
        <v>259</v>
      </c>
      <c r="D428" s="6" t="s">
        <v>27</v>
      </c>
      <c r="E428" s="6"/>
      <c r="F428" s="6" t="s">
        <v>389</v>
      </c>
      <c r="G428" s="6" t="s">
        <v>261</v>
      </c>
      <c r="H428" s="6" t="s">
        <v>2189</v>
      </c>
      <c r="I428" s="6" t="s">
        <v>2188</v>
      </c>
      <c r="J428" s="6" t="s">
        <v>338</v>
      </c>
      <c r="K428" s="6" t="s">
        <v>339</v>
      </c>
      <c r="L428" s="6" t="s">
        <v>2190</v>
      </c>
      <c r="M428" s="6"/>
      <c r="N428" s="6" t="s">
        <v>2191</v>
      </c>
      <c r="O428" s="6"/>
      <c r="P428" s="6"/>
      <c r="Q428" s="6" t="s">
        <v>2192</v>
      </c>
      <c r="R428" s="6"/>
      <c r="S428" s="6"/>
      <c r="T428" s="6"/>
      <c r="U428" s="6" t="s">
        <v>268</v>
      </c>
      <c r="V428" s="6" t="s">
        <v>269</v>
      </c>
      <c r="W428" s="10">
        <v>45428.7600347222</v>
      </c>
      <c r="X428" s="6"/>
      <c r="Y428" s="6"/>
      <c r="Z428" s="6"/>
      <c r="AA428" s="6"/>
      <c r="AB428" s="6">
        <v>45428.7600347222</v>
      </c>
      <c r="AC428" s="6" t="s">
        <v>269</v>
      </c>
    </row>
    <row r="429" s="1" customFormat="1" ht="17.25" customHeight="1" spans="1:29">
      <c r="A429" s="5" t="s">
        <v>2193</v>
      </c>
      <c r="B429" s="5" t="s">
        <v>389</v>
      </c>
      <c r="C429" s="5" t="s">
        <v>259</v>
      </c>
      <c r="D429" s="5" t="s">
        <v>27</v>
      </c>
      <c r="E429" s="5"/>
      <c r="F429" s="5" t="s">
        <v>389</v>
      </c>
      <c r="G429" s="5" t="s">
        <v>261</v>
      </c>
      <c r="H429" s="5" t="s">
        <v>2194</v>
      </c>
      <c r="I429" s="5" t="s">
        <v>2193</v>
      </c>
      <c r="J429" s="5" t="s">
        <v>297</v>
      </c>
      <c r="K429" s="5" t="s">
        <v>298</v>
      </c>
      <c r="L429" s="5" t="s">
        <v>1434</v>
      </c>
      <c r="M429" s="5"/>
      <c r="N429" s="5" t="s">
        <v>2195</v>
      </c>
      <c r="O429" s="5"/>
      <c r="P429" s="5"/>
      <c r="Q429" s="5" t="s">
        <v>2196</v>
      </c>
      <c r="R429" s="5"/>
      <c r="S429" s="5"/>
      <c r="T429" s="5"/>
      <c r="U429" s="5" t="s">
        <v>268</v>
      </c>
      <c r="V429" s="5" t="s">
        <v>269</v>
      </c>
      <c r="W429" s="9">
        <v>45428.7600347222</v>
      </c>
      <c r="X429" s="5"/>
      <c r="Y429" s="5"/>
      <c r="Z429" s="5"/>
      <c r="AA429" s="5"/>
      <c r="AB429" s="5">
        <v>45428.7600347222</v>
      </c>
      <c r="AC429" s="5" t="s">
        <v>269</v>
      </c>
    </row>
    <row r="430" s="1" customFormat="1" ht="17.25" customHeight="1" spans="1:29">
      <c r="A430" s="6" t="s">
        <v>2197</v>
      </c>
      <c r="B430" s="6" t="s">
        <v>389</v>
      </c>
      <c r="C430" s="6" t="s">
        <v>259</v>
      </c>
      <c r="D430" s="6" t="s">
        <v>27</v>
      </c>
      <c r="E430" s="6"/>
      <c r="F430" s="6" t="s">
        <v>389</v>
      </c>
      <c r="G430" s="6" t="s">
        <v>261</v>
      </c>
      <c r="H430" s="6" t="s">
        <v>2198</v>
      </c>
      <c r="I430" s="6" t="s">
        <v>2197</v>
      </c>
      <c r="J430" s="6" t="s">
        <v>378</v>
      </c>
      <c r="K430" s="6" t="s">
        <v>379</v>
      </c>
      <c r="L430" s="6" t="s">
        <v>966</v>
      </c>
      <c r="M430" s="6"/>
      <c r="N430" s="6" t="s">
        <v>2199</v>
      </c>
      <c r="O430" s="6"/>
      <c r="P430" s="6"/>
      <c r="Q430" s="6" t="s">
        <v>2200</v>
      </c>
      <c r="R430" s="6"/>
      <c r="S430" s="6"/>
      <c r="T430" s="6"/>
      <c r="U430" s="6" t="s">
        <v>268</v>
      </c>
      <c r="V430" s="6" t="s">
        <v>269</v>
      </c>
      <c r="W430" s="10">
        <v>45428.7600347222</v>
      </c>
      <c r="X430" s="6"/>
      <c r="Y430" s="6"/>
      <c r="Z430" s="6"/>
      <c r="AA430" s="6"/>
      <c r="AB430" s="6">
        <v>45428.7600347222</v>
      </c>
      <c r="AC430" s="6" t="s">
        <v>269</v>
      </c>
    </row>
    <row r="431" s="1" customFormat="1" ht="17.25" customHeight="1" spans="1:29">
      <c r="A431" s="5" t="s">
        <v>2201</v>
      </c>
      <c r="B431" s="5" t="s">
        <v>389</v>
      </c>
      <c r="C431" s="5" t="s">
        <v>259</v>
      </c>
      <c r="D431" s="5" t="s">
        <v>27</v>
      </c>
      <c r="E431" s="5"/>
      <c r="F431" s="5" t="s">
        <v>389</v>
      </c>
      <c r="G431" s="5" t="s">
        <v>261</v>
      </c>
      <c r="H431" s="5" t="s">
        <v>2202</v>
      </c>
      <c r="I431" s="5" t="s">
        <v>2201</v>
      </c>
      <c r="J431" s="5" t="s">
        <v>338</v>
      </c>
      <c r="K431" s="5" t="s">
        <v>339</v>
      </c>
      <c r="L431" s="5" t="s">
        <v>418</v>
      </c>
      <c r="M431" s="5"/>
      <c r="N431" s="5" t="s">
        <v>2203</v>
      </c>
      <c r="O431" s="5"/>
      <c r="P431" s="5"/>
      <c r="Q431" s="5" t="s">
        <v>2056</v>
      </c>
      <c r="R431" s="5"/>
      <c r="S431" s="5"/>
      <c r="T431" s="5"/>
      <c r="U431" s="5" t="s">
        <v>268</v>
      </c>
      <c r="V431" s="5" t="s">
        <v>269</v>
      </c>
      <c r="W431" s="9">
        <v>45428.7600347222</v>
      </c>
      <c r="X431" s="5"/>
      <c r="Y431" s="5"/>
      <c r="Z431" s="5"/>
      <c r="AA431" s="5"/>
      <c r="AB431" s="5">
        <v>45428.7600347222</v>
      </c>
      <c r="AC431" s="5" t="s">
        <v>269</v>
      </c>
    </row>
    <row r="432" s="1" customFormat="1" ht="17.25" customHeight="1" spans="1:29">
      <c r="A432" s="6" t="s">
        <v>2204</v>
      </c>
      <c r="B432" s="6" t="s">
        <v>389</v>
      </c>
      <c r="C432" s="6" t="s">
        <v>259</v>
      </c>
      <c r="D432" s="6" t="s">
        <v>27</v>
      </c>
      <c r="E432" s="6"/>
      <c r="F432" s="6" t="s">
        <v>389</v>
      </c>
      <c r="G432" s="6" t="s">
        <v>261</v>
      </c>
      <c r="H432" s="6" t="s">
        <v>2205</v>
      </c>
      <c r="I432" s="6" t="s">
        <v>2204</v>
      </c>
      <c r="J432" s="6" t="s">
        <v>304</v>
      </c>
      <c r="K432" s="6" t="s">
        <v>305</v>
      </c>
      <c r="L432" s="6" t="s">
        <v>555</v>
      </c>
      <c r="M432" s="6"/>
      <c r="N432" s="6" t="s">
        <v>2206</v>
      </c>
      <c r="O432" s="6"/>
      <c r="P432" s="6"/>
      <c r="Q432" s="6" t="s">
        <v>2207</v>
      </c>
      <c r="R432" s="6"/>
      <c r="S432" s="6"/>
      <c r="T432" s="6"/>
      <c r="U432" s="6" t="s">
        <v>268</v>
      </c>
      <c r="V432" s="6" t="s">
        <v>269</v>
      </c>
      <c r="W432" s="10">
        <v>45428.7600347222</v>
      </c>
      <c r="X432" s="6"/>
      <c r="Y432" s="6"/>
      <c r="Z432" s="6"/>
      <c r="AA432" s="6"/>
      <c r="AB432" s="6">
        <v>45428.7600347222</v>
      </c>
      <c r="AC432" s="6" t="s">
        <v>269</v>
      </c>
    </row>
    <row r="433" s="1" customFormat="1" ht="17.25" customHeight="1" spans="1:29">
      <c r="A433" s="5" t="s">
        <v>2208</v>
      </c>
      <c r="B433" s="5" t="s">
        <v>389</v>
      </c>
      <c r="C433" s="5" t="s">
        <v>259</v>
      </c>
      <c r="D433" s="5" t="s">
        <v>27</v>
      </c>
      <c r="E433" s="5"/>
      <c r="F433" s="5" t="s">
        <v>389</v>
      </c>
      <c r="G433" s="5" t="s">
        <v>261</v>
      </c>
      <c r="H433" s="5" t="s">
        <v>2209</v>
      </c>
      <c r="I433" s="5" t="s">
        <v>2208</v>
      </c>
      <c r="J433" s="5"/>
      <c r="K433" s="5"/>
      <c r="L433" s="5"/>
      <c r="M433" s="5"/>
      <c r="N433" s="5" t="s">
        <v>2210</v>
      </c>
      <c r="O433" s="5"/>
      <c r="P433" s="5"/>
      <c r="Q433" s="5" t="s">
        <v>2211</v>
      </c>
      <c r="R433" s="5"/>
      <c r="S433" s="5"/>
      <c r="T433" s="5"/>
      <c r="U433" s="5"/>
      <c r="V433" s="5" t="s">
        <v>836</v>
      </c>
      <c r="W433" s="9">
        <v>45650.7002777778</v>
      </c>
      <c r="X433" s="5"/>
      <c r="Y433" s="5"/>
      <c r="Z433" s="5"/>
      <c r="AA433" s="5"/>
      <c r="AB433" s="5">
        <v>45441.7473263889</v>
      </c>
      <c r="AC433" s="5" t="s">
        <v>902</v>
      </c>
    </row>
    <row r="434" s="1" customFormat="1" ht="17.25" customHeight="1" spans="1:29">
      <c r="A434" s="6" t="s">
        <v>2212</v>
      </c>
      <c r="B434" s="6" t="s">
        <v>389</v>
      </c>
      <c r="C434" s="6" t="s">
        <v>259</v>
      </c>
      <c r="D434" s="6" t="s">
        <v>27</v>
      </c>
      <c r="E434" s="6"/>
      <c r="F434" s="6" t="s">
        <v>389</v>
      </c>
      <c r="G434" s="6" t="s">
        <v>261</v>
      </c>
      <c r="H434" s="6" t="s">
        <v>2213</v>
      </c>
      <c r="I434" s="6" t="s">
        <v>2212</v>
      </c>
      <c r="J434" s="6" t="s">
        <v>611</v>
      </c>
      <c r="K434" s="6" t="s">
        <v>612</v>
      </c>
      <c r="L434" s="6" t="s">
        <v>2214</v>
      </c>
      <c r="M434" s="6"/>
      <c r="N434" s="6" t="s">
        <v>2215</v>
      </c>
      <c r="O434" s="6"/>
      <c r="P434" s="6"/>
      <c r="Q434" s="6" t="s">
        <v>1781</v>
      </c>
      <c r="R434" s="6"/>
      <c r="S434" s="6"/>
      <c r="T434" s="6"/>
      <c r="U434" s="6" t="s">
        <v>268</v>
      </c>
      <c r="V434" s="6" t="s">
        <v>2216</v>
      </c>
      <c r="W434" s="10">
        <v>45434.5018171296</v>
      </c>
      <c r="X434" s="6"/>
      <c r="Y434" s="6"/>
      <c r="Z434" s="6"/>
      <c r="AA434" s="6"/>
      <c r="AB434" s="6">
        <v>45434.4939930556</v>
      </c>
      <c r="AC434" s="6" t="s">
        <v>270</v>
      </c>
    </row>
    <row r="435" s="1" customFormat="1" ht="17.25" customHeight="1" spans="1:29">
      <c r="A435" s="5" t="s">
        <v>2217</v>
      </c>
      <c r="B435" s="5" t="s">
        <v>258</v>
      </c>
      <c r="C435" s="5" t="s">
        <v>259</v>
      </c>
      <c r="D435" s="5" t="s">
        <v>260</v>
      </c>
      <c r="E435" s="5"/>
      <c r="F435" s="5" t="s">
        <v>258</v>
      </c>
      <c r="G435" s="5" t="s">
        <v>261</v>
      </c>
      <c r="H435" s="5" t="s">
        <v>2218</v>
      </c>
      <c r="I435" s="5" t="s">
        <v>2217</v>
      </c>
      <c r="J435" s="5" t="s">
        <v>378</v>
      </c>
      <c r="K435" s="5" t="s">
        <v>379</v>
      </c>
      <c r="L435" s="5" t="s">
        <v>2219</v>
      </c>
      <c r="M435" s="5"/>
      <c r="N435" s="5" t="s">
        <v>2220</v>
      </c>
      <c r="O435" s="5"/>
      <c r="P435" s="5"/>
      <c r="Q435" s="5" t="s">
        <v>2221</v>
      </c>
      <c r="R435" s="5"/>
      <c r="S435" s="5"/>
      <c r="T435" s="5"/>
      <c r="U435" s="5" t="s">
        <v>268</v>
      </c>
      <c r="V435" s="5" t="s">
        <v>270</v>
      </c>
      <c r="W435" s="9">
        <v>45440.6079166667</v>
      </c>
      <c r="X435" s="5"/>
      <c r="Y435" s="5"/>
      <c r="Z435" s="5"/>
      <c r="AA435" s="5"/>
      <c r="AB435" s="5">
        <v>45435.6035648148</v>
      </c>
      <c r="AC435" s="5" t="s">
        <v>270</v>
      </c>
    </row>
    <row r="436" s="1" customFormat="1" ht="17.25" customHeight="1" spans="1:29">
      <c r="A436" s="6" t="s">
        <v>2222</v>
      </c>
      <c r="B436" s="6" t="s">
        <v>389</v>
      </c>
      <c r="C436" s="6" t="s">
        <v>259</v>
      </c>
      <c r="D436" s="6" t="s">
        <v>27</v>
      </c>
      <c r="E436" s="6"/>
      <c r="F436" s="6" t="s">
        <v>389</v>
      </c>
      <c r="G436" s="6" t="s">
        <v>261</v>
      </c>
      <c r="H436" s="6" t="s">
        <v>2223</v>
      </c>
      <c r="I436" s="6" t="s">
        <v>2222</v>
      </c>
      <c r="J436" s="6"/>
      <c r="K436" s="6"/>
      <c r="L436" s="6"/>
      <c r="M436" s="6"/>
      <c r="N436" s="6" t="s">
        <v>2224</v>
      </c>
      <c r="O436" s="6"/>
      <c r="P436" s="6"/>
      <c r="Q436" s="6" t="s">
        <v>2225</v>
      </c>
      <c r="R436" s="6"/>
      <c r="S436" s="6"/>
      <c r="T436" s="6"/>
      <c r="U436" s="6"/>
      <c r="V436" s="6" t="s">
        <v>836</v>
      </c>
      <c r="W436" s="10">
        <v>45523.7425810185</v>
      </c>
      <c r="X436" s="6"/>
      <c r="Y436" s="6"/>
      <c r="Z436" s="6"/>
      <c r="AA436" s="6"/>
      <c r="AB436" s="6">
        <v>45441.7473263889</v>
      </c>
      <c r="AC436" s="6" t="s">
        <v>270</v>
      </c>
    </row>
    <row r="437" s="1" customFormat="1" ht="17.25" customHeight="1" spans="1:29">
      <c r="A437" s="5" t="s">
        <v>2226</v>
      </c>
      <c r="B437" s="5" t="s">
        <v>389</v>
      </c>
      <c r="C437" s="5" t="s">
        <v>259</v>
      </c>
      <c r="D437" s="5" t="s">
        <v>27</v>
      </c>
      <c r="E437" s="5"/>
      <c r="F437" s="5" t="s">
        <v>389</v>
      </c>
      <c r="G437" s="5" t="s">
        <v>261</v>
      </c>
      <c r="H437" s="5" t="s">
        <v>931</v>
      </c>
      <c r="I437" s="5" t="s">
        <v>901</v>
      </c>
      <c r="J437" s="5"/>
      <c r="K437" s="5"/>
      <c r="L437" s="5"/>
      <c r="M437" s="5"/>
      <c r="N437" s="5" t="s">
        <v>2227</v>
      </c>
      <c r="O437" s="5"/>
      <c r="P437" s="5"/>
      <c r="Q437" s="5" t="s">
        <v>2228</v>
      </c>
      <c r="R437" s="5"/>
      <c r="S437" s="5"/>
      <c r="T437" s="5"/>
      <c r="U437" s="5"/>
      <c r="V437" s="5" t="s">
        <v>836</v>
      </c>
      <c r="W437" s="9">
        <v>45650.7198842593</v>
      </c>
      <c r="X437" s="5"/>
      <c r="Y437" s="5"/>
      <c r="Z437" s="5"/>
      <c r="AA437" s="5"/>
      <c r="AB437" s="5">
        <v>45441.7473263889</v>
      </c>
      <c r="AC437" s="5" t="s">
        <v>902</v>
      </c>
    </row>
    <row r="438" s="1" customFormat="1" ht="17.25" customHeight="1" spans="1:29">
      <c r="A438" s="6" t="s">
        <v>2229</v>
      </c>
      <c r="B438" s="6" t="s">
        <v>389</v>
      </c>
      <c r="C438" s="6" t="s">
        <v>259</v>
      </c>
      <c r="D438" s="6" t="s">
        <v>27</v>
      </c>
      <c r="E438" s="6"/>
      <c r="F438" s="6" t="s">
        <v>389</v>
      </c>
      <c r="G438" s="6" t="s">
        <v>261</v>
      </c>
      <c r="H438" s="6" t="s">
        <v>2230</v>
      </c>
      <c r="I438" s="6" t="s">
        <v>2229</v>
      </c>
      <c r="J438" s="6"/>
      <c r="K438" s="6"/>
      <c r="L438" s="6" t="s">
        <v>2231</v>
      </c>
      <c r="M438" s="6"/>
      <c r="N438" s="6" t="s">
        <v>2232</v>
      </c>
      <c r="O438" s="6"/>
      <c r="P438" s="6"/>
      <c r="Q438" s="6" t="s">
        <v>2233</v>
      </c>
      <c r="R438" s="6"/>
      <c r="S438" s="6"/>
      <c r="T438" s="6"/>
      <c r="U438" s="6"/>
      <c r="V438" s="6" t="s">
        <v>861</v>
      </c>
      <c r="W438" s="10">
        <v>45471.6108333333</v>
      </c>
      <c r="X438" s="6"/>
      <c r="Y438" s="6"/>
      <c r="Z438" s="6"/>
      <c r="AA438" s="6"/>
      <c r="AB438" s="6">
        <v>45471.6108333333</v>
      </c>
      <c r="AC438" s="6" t="s">
        <v>861</v>
      </c>
    </row>
    <row r="439" s="1" customFormat="1" ht="17.25" customHeight="1" spans="1:29">
      <c r="A439" s="5" t="s">
        <v>2234</v>
      </c>
      <c r="B439" s="5" t="s">
        <v>35</v>
      </c>
      <c r="C439" s="5" t="s">
        <v>259</v>
      </c>
      <c r="D439" s="5" t="s">
        <v>838</v>
      </c>
      <c r="E439" s="5"/>
      <c r="F439" s="5" t="s">
        <v>35</v>
      </c>
      <c r="G439" s="5" t="s">
        <v>2235</v>
      </c>
      <c r="H439" s="5" t="s">
        <v>2236</v>
      </c>
      <c r="I439" s="5" t="s">
        <v>2234</v>
      </c>
      <c r="J439" s="5" t="s">
        <v>338</v>
      </c>
      <c r="K439" s="5" t="s">
        <v>339</v>
      </c>
      <c r="L439" s="5" t="s">
        <v>340</v>
      </c>
      <c r="M439" s="5"/>
      <c r="N439" s="5" t="s">
        <v>2237</v>
      </c>
      <c r="O439" s="5"/>
      <c r="P439" s="5"/>
      <c r="Q439" s="5" t="s">
        <v>2238</v>
      </c>
      <c r="R439" s="5"/>
      <c r="S439" s="5"/>
      <c r="T439" s="5"/>
      <c r="U439" s="5" t="s">
        <v>268</v>
      </c>
      <c r="V439" s="5" t="s">
        <v>270</v>
      </c>
      <c r="W439" s="9">
        <v>45713.6719560185</v>
      </c>
      <c r="X439" s="5"/>
      <c r="Y439" s="5"/>
      <c r="Z439" s="5"/>
      <c r="AA439" s="5"/>
      <c r="AB439" s="5">
        <v>45502.7194560185</v>
      </c>
      <c r="AC439" s="5" t="s">
        <v>270</v>
      </c>
    </row>
    <row r="440" s="1" customFormat="1" ht="17.25" customHeight="1" spans="1:29">
      <c r="A440" s="6" t="s">
        <v>2239</v>
      </c>
      <c r="B440" s="6" t="s">
        <v>389</v>
      </c>
      <c r="C440" s="6" t="s">
        <v>259</v>
      </c>
      <c r="D440" s="6" t="s">
        <v>27</v>
      </c>
      <c r="E440" s="6"/>
      <c r="F440" s="6" t="s">
        <v>389</v>
      </c>
      <c r="G440" s="6" t="s">
        <v>261</v>
      </c>
      <c r="H440" s="6" t="s">
        <v>2240</v>
      </c>
      <c r="I440" s="6" t="s">
        <v>2239</v>
      </c>
      <c r="J440" s="6" t="s">
        <v>263</v>
      </c>
      <c r="K440" s="6" t="s">
        <v>264</v>
      </c>
      <c r="L440" s="6" t="s">
        <v>2241</v>
      </c>
      <c r="M440" s="6"/>
      <c r="N440" s="6" t="s">
        <v>2242</v>
      </c>
      <c r="O440" s="6"/>
      <c r="P440" s="6"/>
      <c r="Q440" s="6" t="s">
        <v>2243</v>
      </c>
      <c r="R440" s="6"/>
      <c r="S440" s="6"/>
      <c r="T440" s="6"/>
      <c r="U440" s="6" t="s">
        <v>268</v>
      </c>
      <c r="V440" s="6" t="s">
        <v>270</v>
      </c>
      <c r="W440" s="10">
        <v>45523.7425810185</v>
      </c>
      <c r="X440" s="6"/>
      <c r="Y440" s="6"/>
      <c r="Z440" s="6"/>
      <c r="AA440" s="6"/>
      <c r="AB440" s="6">
        <v>45510.5396990741</v>
      </c>
      <c r="AC440" s="6" t="s">
        <v>270</v>
      </c>
    </row>
    <row r="441" s="1" customFormat="1" ht="17.25" customHeight="1" spans="1:29">
      <c r="A441" s="5" t="s">
        <v>2244</v>
      </c>
      <c r="B441" s="5" t="s">
        <v>389</v>
      </c>
      <c r="C441" s="5" t="s">
        <v>259</v>
      </c>
      <c r="D441" s="5" t="s">
        <v>27</v>
      </c>
      <c r="E441" s="5"/>
      <c r="F441" s="5" t="s">
        <v>389</v>
      </c>
      <c r="G441" s="5" t="s">
        <v>261</v>
      </c>
      <c r="H441" s="5" t="s">
        <v>2245</v>
      </c>
      <c r="I441" s="5" t="s">
        <v>2244</v>
      </c>
      <c r="J441" s="5" t="s">
        <v>350</v>
      </c>
      <c r="K441" s="5" t="s">
        <v>351</v>
      </c>
      <c r="L441" s="5" t="s">
        <v>2246</v>
      </c>
      <c r="M441" s="5"/>
      <c r="N441" s="5" t="s">
        <v>2247</v>
      </c>
      <c r="O441" s="5"/>
      <c r="P441" s="5"/>
      <c r="Q441" s="5" t="s">
        <v>2248</v>
      </c>
      <c r="R441" s="5"/>
      <c r="S441" s="5"/>
      <c r="T441" s="5"/>
      <c r="U441" s="5" t="s">
        <v>268</v>
      </c>
      <c r="V441" s="5" t="s">
        <v>270</v>
      </c>
      <c r="W441" s="9">
        <v>45523.7425810185</v>
      </c>
      <c r="X441" s="5"/>
      <c r="Y441" s="5"/>
      <c r="Z441" s="5"/>
      <c r="AA441" s="5"/>
      <c r="AB441" s="5">
        <v>45510.5463425926</v>
      </c>
      <c r="AC441" s="5" t="s">
        <v>270</v>
      </c>
    </row>
    <row r="442" s="1" customFormat="1" ht="17.25" customHeight="1" spans="1:29">
      <c r="A442" s="6" t="s">
        <v>2249</v>
      </c>
      <c r="B442" s="6" t="s">
        <v>2250</v>
      </c>
      <c r="C442" s="6" t="s">
        <v>259</v>
      </c>
      <c r="D442" s="6" t="s">
        <v>27</v>
      </c>
      <c r="E442" s="6"/>
      <c r="F442" s="6" t="s">
        <v>2251</v>
      </c>
      <c r="G442" s="6" t="s">
        <v>2252</v>
      </c>
      <c r="H442" s="6" t="s">
        <v>2249</v>
      </c>
      <c r="I442" s="6"/>
      <c r="J442" s="6" t="s">
        <v>2249</v>
      </c>
      <c r="K442" s="6"/>
      <c r="L442" s="6" t="s">
        <v>2098</v>
      </c>
      <c r="M442" s="6"/>
      <c r="N442" s="6" t="s">
        <v>2253</v>
      </c>
      <c r="O442" s="6"/>
      <c r="P442" s="6"/>
      <c r="Q442" s="6" t="s">
        <v>716</v>
      </c>
      <c r="R442" s="6"/>
      <c r="S442" s="6"/>
      <c r="T442" s="6"/>
      <c r="U442" s="6" t="s">
        <v>268</v>
      </c>
      <c r="V442" s="6" t="s">
        <v>269</v>
      </c>
      <c r="W442" s="10">
        <v>45524.7743981481</v>
      </c>
      <c r="X442" s="6"/>
      <c r="Y442" s="6"/>
      <c r="Z442" s="6"/>
      <c r="AA442" s="6"/>
      <c r="AB442" s="6">
        <v>45428.7600347222</v>
      </c>
      <c r="AC442" s="6" t="s">
        <v>270</v>
      </c>
    </row>
    <row r="443" s="1" customFormat="1" ht="17.25" customHeight="1" spans="1:29">
      <c r="A443" s="5" t="s">
        <v>2254</v>
      </c>
      <c r="B443" s="5" t="s">
        <v>389</v>
      </c>
      <c r="C443" s="5" t="s">
        <v>259</v>
      </c>
      <c r="D443" s="5" t="s">
        <v>27</v>
      </c>
      <c r="E443" s="5"/>
      <c r="F443" s="5" t="s">
        <v>389</v>
      </c>
      <c r="G443" s="5" t="s">
        <v>261</v>
      </c>
      <c r="H443" s="5" t="s">
        <v>2255</v>
      </c>
      <c r="I443" s="5" t="s">
        <v>2254</v>
      </c>
      <c r="J443" s="5" t="s">
        <v>297</v>
      </c>
      <c r="K443" s="5" t="s">
        <v>298</v>
      </c>
      <c r="L443" s="5" t="s">
        <v>606</v>
      </c>
      <c r="M443" s="5"/>
      <c r="N443" s="5" t="s">
        <v>2256</v>
      </c>
      <c r="O443" s="5"/>
      <c r="P443" s="5"/>
      <c r="Q443" s="5" t="s">
        <v>1428</v>
      </c>
      <c r="R443" s="5"/>
      <c r="S443" s="5"/>
      <c r="T443" s="5"/>
      <c r="U443" s="5"/>
      <c r="V443" s="5" t="s">
        <v>270</v>
      </c>
      <c r="W443" s="9">
        <v>45549.4802662037</v>
      </c>
      <c r="X443" s="5"/>
      <c r="Y443" s="5"/>
      <c r="Z443" s="5"/>
      <c r="AA443" s="5"/>
      <c r="AB443" s="5">
        <v>45549.4802662037</v>
      </c>
      <c r="AC443" s="5" t="s">
        <v>270</v>
      </c>
    </row>
    <row r="444" s="1" customFormat="1" ht="17.25" customHeight="1" spans="1:29">
      <c r="A444" s="6" t="s">
        <v>2257</v>
      </c>
      <c r="B444" s="6" t="s">
        <v>389</v>
      </c>
      <c r="C444" s="6" t="s">
        <v>259</v>
      </c>
      <c r="D444" s="6" t="s">
        <v>27</v>
      </c>
      <c r="E444" s="6"/>
      <c r="F444" s="6" t="s">
        <v>389</v>
      </c>
      <c r="G444" s="6" t="s">
        <v>261</v>
      </c>
      <c r="H444" s="6" t="s">
        <v>2258</v>
      </c>
      <c r="I444" s="6" t="s">
        <v>2257</v>
      </c>
      <c r="J444" s="6"/>
      <c r="K444" s="6"/>
      <c r="L444" s="6"/>
      <c r="M444" s="6"/>
      <c r="N444" s="6" t="s">
        <v>2259</v>
      </c>
      <c r="O444" s="6"/>
      <c r="P444" s="6"/>
      <c r="Q444" s="6" t="s">
        <v>2260</v>
      </c>
      <c r="R444" s="6"/>
      <c r="S444" s="6"/>
      <c r="T444" s="6"/>
      <c r="U444" s="6" t="s">
        <v>901</v>
      </c>
      <c r="V444" s="6" t="s">
        <v>902</v>
      </c>
      <c r="W444" s="10">
        <v>45650.699849537</v>
      </c>
      <c r="X444" s="6"/>
      <c r="Y444" s="6"/>
      <c r="Z444" s="6"/>
      <c r="AA444" s="6"/>
      <c r="AB444" s="6">
        <v>45555.6510532407</v>
      </c>
      <c r="AC444" s="6" t="s">
        <v>902</v>
      </c>
    </row>
    <row r="445" s="1" customFormat="1" ht="17.25" customHeight="1" spans="1:29">
      <c r="A445" s="5" t="s">
        <v>2261</v>
      </c>
      <c r="B445" s="5" t="s">
        <v>258</v>
      </c>
      <c r="C445" s="5" t="s">
        <v>259</v>
      </c>
      <c r="D445" s="5" t="s">
        <v>260</v>
      </c>
      <c r="E445" s="5"/>
      <c r="F445" s="5" t="s">
        <v>258</v>
      </c>
      <c r="G445" s="5" t="s">
        <v>261</v>
      </c>
      <c r="H445" s="5" t="s">
        <v>2262</v>
      </c>
      <c r="I445" s="5" t="s">
        <v>2261</v>
      </c>
      <c r="J445" s="5" t="s">
        <v>378</v>
      </c>
      <c r="K445" s="5" t="s">
        <v>379</v>
      </c>
      <c r="L445" s="5" t="s">
        <v>380</v>
      </c>
      <c r="M445" s="5"/>
      <c r="N445" s="5" t="s">
        <v>2263</v>
      </c>
      <c r="O445" s="5"/>
      <c r="P445" s="5"/>
      <c r="Q445" s="5" t="s">
        <v>2264</v>
      </c>
      <c r="R445" s="5"/>
      <c r="S445" s="5"/>
      <c r="T445" s="5"/>
      <c r="U445" s="5"/>
      <c r="V445" s="5" t="s">
        <v>270</v>
      </c>
      <c r="W445" s="9">
        <v>45636.7221759259</v>
      </c>
      <c r="X445" s="5"/>
      <c r="Y445" s="5"/>
      <c r="Z445" s="5"/>
      <c r="AA445" s="5"/>
      <c r="AB445" s="5">
        <v>45583.6417708333</v>
      </c>
      <c r="AC445" s="5" t="s">
        <v>270</v>
      </c>
    </row>
    <row r="446" s="1" customFormat="1" ht="17.25" customHeight="1" spans="1:29">
      <c r="A446" s="6" t="s">
        <v>2265</v>
      </c>
      <c r="B446" s="6" t="s">
        <v>389</v>
      </c>
      <c r="C446" s="6" t="s">
        <v>259</v>
      </c>
      <c r="D446" s="6" t="s">
        <v>27</v>
      </c>
      <c r="E446" s="6"/>
      <c r="F446" s="6" t="s">
        <v>389</v>
      </c>
      <c r="G446" s="6" t="s">
        <v>261</v>
      </c>
      <c r="H446" s="6" t="s">
        <v>2266</v>
      </c>
      <c r="I446" s="6" t="s">
        <v>2265</v>
      </c>
      <c r="J446" s="6" t="s">
        <v>350</v>
      </c>
      <c r="K446" s="6" t="s">
        <v>351</v>
      </c>
      <c r="L446" s="6" t="s">
        <v>2267</v>
      </c>
      <c r="M446" s="6"/>
      <c r="N446" s="6" t="s">
        <v>2268</v>
      </c>
      <c r="O446" s="6"/>
      <c r="P446" s="6"/>
      <c r="Q446" s="6" t="s">
        <v>2269</v>
      </c>
      <c r="R446" s="6"/>
      <c r="S446" s="6"/>
      <c r="T446" s="6"/>
      <c r="U446" s="6"/>
      <c r="V446" s="6" t="s">
        <v>270</v>
      </c>
      <c r="W446" s="10">
        <v>45586.6842939815</v>
      </c>
      <c r="X446" s="6"/>
      <c r="Y446" s="6"/>
      <c r="Z446" s="6"/>
      <c r="AA446" s="6"/>
      <c r="AB446" s="6">
        <v>45586.6842939815</v>
      </c>
      <c r="AC446" s="6" t="s">
        <v>270</v>
      </c>
    </row>
    <row r="447" s="1" customFormat="1" ht="17.25" customHeight="1" spans="1:29">
      <c r="A447" s="5" t="s">
        <v>2270</v>
      </c>
      <c r="B447" s="5" t="s">
        <v>389</v>
      </c>
      <c r="C447" s="5" t="s">
        <v>259</v>
      </c>
      <c r="D447" s="5" t="s">
        <v>27</v>
      </c>
      <c r="E447" s="5"/>
      <c r="F447" s="5" t="s">
        <v>389</v>
      </c>
      <c r="G447" s="5" t="s">
        <v>261</v>
      </c>
      <c r="H447" s="5" t="s">
        <v>2271</v>
      </c>
      <c r="I447" s="5" t="s">
        <v>2270</v>
      </c>
      <c r="J447" s="5" t="s">
        <v>338</v>
      </c>
      <c r="K447" s="5" t="s">
        <v>339</v>
      </c>
      <c r="L447" s="5" t="s">
        <v>2272</v>
      </c>
      <c r="M447" s="5"/>
      <c r="N447" s="5" t="s">
        <v>2273</v>
      </c>
      <c r="O447" s="5"/>
      <c r="P447" s="5"/>
      <c r="Q447" s="5" t="s">
        <v>2274</v>
      </c>
      <c r="R447" s="5"/>
      <c r="S447" s="5"/>
      <c r="T447" s="5"/>
      <c r="U447" s="5"/>
      <c r="V447" s="5" t="s">
        <v>270</v>
      </c>
      <c r="W447" s="9">
        <v>45616.5394097222</v>
      </c>
      <c r="X447" s="5"/>
      <c r="Y447" s="5"/>
      <c r="Z447" s="5"/>
      <c r="AA447" s="5"/>
      <c r="AB447" s="5">
        <v>45616.536875</v>
      </c>
      <c r="AC447" s="5" t="s">
        <v>270</v>
      </c>
    </row>
    <row r="448" s="1" customFormat="1" ht="17.25" customHeight="1" spans="1:29">
      <c r="A448" s="6" t="s">
        <v>2275</v>
      </c>
      <c r="B448" s="6" t="s">
        <v>258</v>
      </c>
      <c r="C448" s="6" t="s">
        <v>259</v>
      </c>
      <c r="D448" s="6" t="s">
        <v>260</v>
      </c>
      <c r="E448" s="6"/>
      <c r="F448" s="6" t="s">
        <v>258</v>
      </c>
      <c r="G448" s="6" t="s">
        <v>389</v>
      </c>
      <c r="H448" s="6" t="s">
        <v>2276</v>
      </c>
      <c r="I448" s="6" t="s">
        <v>2275</v>
      </c>
      <c r="J448" s="6" t="s">
        <v>297</v>
      </c>
      <c r="K448" s="6" t="s">
        <v>298</v>
      </c>
      <c r="L448" s="6" t="s">
        <v>2277</v>
      </c>
      <c r="M448" s="6"/>
      <c r="N448" s="6" t="s">
        <v>2278</v>
      </c>
      <c r="O448" s="6"/>
      <c r="P448" s="6"/>
      <c r="Q448" s="6" t="s">
        <v>1436</v>
      </c>
      <c r="R448" s="6"/>
      <c r="S448" s="6"/>
      <c r="T448" s="6"/>
      <c r="U448" s="6"/>
      <c r="V448" s="6" t="s">
        <v>270</v>
      </c>
      <c r="W448" s="10">
        <v>45625.6853472222</v>
      </c>
      <c r="X448" s="6"/>
      <c r="Y448" s="6"/>
      <c r="Z448" s="6"/>
      <c r="AA448" s="6"/>
      <c r="AB448" s="6">
        <v>45625.680775463</v>
      </c>
      <c r="AC448" s="6" t="s">
        <v>270</v>
      </c>
    </row>
    <row r="449" s="1" customFormat="1" ht="17.25" customHeight="1" spans="1:29">
      <c r="A449" s="5" t="s">
        <v>2279</v>
      </c>
      <c r="B449" s="5" t="s">
        <v>389</v>
      </c>
      <c r="C449" s="5" t="s">
        <v>259</v>
      </c>
      <c r="D449" s="5" t="s">
        <v>27</v>
      </c>
      <c r="E449" s="5"/>
      <c r="F449" s="5" t="s">
        <v>389</v>
      </c>
      <c r="G449" s="5" t="s">
        <v>261</v>
      </c>
      <c r="H449" s="5" t="s">
        <v>2280</v>
      </c>
      <c r="I449" s="5" t="s">
        <v>2279</v>
      </c>
      <c r="J449" s="5" t="s">
        <v>304</v>
      </c>
      <c r="K449" s="5" t="s">
        <v>305</v>
      </c>
      <c r="L449" s="5" t="s">
        <v>2281</v>
      </c>
      <c r="M449" s="5"/>
      <c r="N449" s="5" t="s">
        <v>2282</v>
      </c>
      <c r="O449" s="5"/>
      <c r="P449" s="5"/>
      <c r="Q449" s="5">
        <v>46307</v>
      </c>
      <c r="R449" s="5"/>
      <c r="S449" s="5"/>
      <c r="T449" s="5"/>
      <c r="U449" s="5"/>
      <c r="V449" s="5" t="s">
        <v>270</v>
      </c>
      <c r="W449" s="9">
        <v>45666.5946990741</v>
      </c>
      <c r="X449" s="5"/>
      <c r="Y449" s="5"/>
      <c r="Z449" s="5"/>
      <c r="AA449" s="5"/>
      <c r="AB449" s="5">
        <v>45666.5931712963</v>
      </c>
      <c r="AC449" s="5" t="s">
        <v>270</v>
      </c>
    </row>
    <row r="450" s="1" customFormat="1" ht="17.25" customHeight="1" spans="1:29">
      <c r="A450" s="6" t="s">
        <v>2283</v>
      </c>
      <c r="B450" s="6" t="s">
        <v>389</v>
      </c>
      <c r="C450" s="6" t="s">
        <v>259</v>
      </c>
      <c r="D450" s="6" t="s">
        <v>27</v>
      </c>
      <c r="E450" s="6"/>
      <c r="F450" s="6" t="s">
        <v>389</v>
      </c>
      <c r="G450" s="6" t="s">
        <v>261</v>
      </c>
      <c r="H450" s="6" t="s">
        <v>2284</v>
      </c>
      <c r="I450" s="6" t="s">
        <v>2283</v>
      </c>
      <c r="J450" s="6" t="s">
        <v>338</v>
      </c>
      <c r="K450" s="6" t="s">
        <v>339</v>
      </c>
      <c r="L450" s="6" t="s">
        <v>2285</v>
      </c>
      <c r="M450" s="6"/>
      <c r="N450" s="6" t="s">
        <v>2286</v>
      </c>
      <c r="O450" s="6"/>
      <c r="P450" s="6"/>
      <c r="Q450" s="6" t="s">
        <v>2287</v>
      </c>
      <c r="R450" s="6"/>
      <c r="S450" s="6"/>
      <c r="T450" s="6"/>
      <c r="U450" s="6"/>
      <c r="V450" s="6" t="s">
        <v>2288</v>
      </c>
      <c r="W450" s="98" t="s">
        <v>2289</v>
      </c>
      <c r="X450" s="6"/>
      <c r="Y450" s="6"/>
      <c r="Z450" s="6"/>
      <c r="AA450" s="6"/>
      <c r="AB450" s="6">
        <v>45694.6665972222</v>
      </c>
      <c r="AC450" s="6" t="s">
        <v>270</v>
      </c>
    </row>
    <row r="451" s="1" customFormat="1" ht="17.25" customHeight="1" spans="1:29">
      <c r="A451" s="12" t="s">
        <v>2290</v>
      </c>
      <c r="B451" s="12" t="s">
        <v>389</v>
      </c>
      <c r="C451" s="12" t="s">
        <v>259</v>
      </c>
      <c r="D451" s="12" t="s">
        <v>27</v>
      </c>
      <c r="E451" s="12"/>
      <c r="F451" s="12" t="s">
        <v>389</v>
      </c>
      <c r="G451" s="12" t="s">
        <v>261</v>
      </c>
      <c r="H451" s="12" t="s">
        <v>2291</v>
      </c>
      <c r="I451" s="12" t="s">
        <v>2290</v>
      </c>
      <c r="J451" s="12" t="s">
        <v>338</v>
      </c>
      <c r="K451" s="12" t="s">
        <v>339</v>
      </c>
      <c r="L451" s="12" t="s">
        <v>714</v>
      </c>
      <c r="M451" s="12"/>
      <c r="N451" s="12" t="s">
        <v>2292</v>
      </c>
      <c r="O451" s="12"/>
      <c r="P451" s="12"/>
      <c r="Q451" s="12" t="s">
        <v>2293</v>
      </c>
      <c r="R451" s="12"/>
      <c r="S451" s="12"/>
      <c r="T451" s="12"/>
      <c r="U451" s="12" t="s">
        <v>268</v>
      </c>
      <c r="V451" s="12" t="s">
        <v>947</v>
      </c>
      <c r="W451" s="99" t="s">
        <v>2294</v>
      </c>
      <c r="X451" s="12"/>
      <c r="Y451" s="12"/>
      <c r="Z451" s="12"/>
      <c r="AA451" s="12"/>
      <c r="AB451" s="12">
        <v>45695.5870833333</v>
      </c>
      <c r="AC451" s="12" t="s">
        <v>947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10" sqref="T10"/>
    </sheetView>
  </sheetViews>
  <sheetFormatPr defaultColWidth="9" defaultRowHeight="14.4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发票箱单</vt:lpstr>
      <vt:lpstr>走货线路名和申报币别要求-不能删</vt:lpstr>
      <vt:lpstr>地址库</vt:lpstr>
      <vt:lpstr>填写范本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小挥</cp:lastModifiedBy>
  <dcterms:created xsi:type="dcterms:W3CDTF">2021-03-15T20:37:00Z</dcterms:created>
  <dcterms:modified xsi:type="dcterms:W3CDTF">2025-08-20T10:42:42Z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04B54E83CFD54449B078191B6DA8CFB0_13</vt:lpwstr>
  </property>
  <property fmtid="{D5CDD505-2E9C-101B-9397-08002B2CF9AE}" pid="3" name="KSOProductBuildVer">
    <vt:lpwstr>2052-12.1.0.21915</vt:lpwstr>
  </property>
</Properties>
</file>