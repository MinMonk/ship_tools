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160"/>
  </bookViews>
  <sheets>
    <sheet name="发票箱单" sheetId="1" r:id="rId1"/>
    <sheet name="走货线路名和申报币别要求-不能删" sheetId="2" r:id="rId2"/>
    <sheet name="填写范本" sheetId="3" r:id="rId3"/>
  </sheets>
  <definedNames>
    <definedName name="_xlnm._FilterDatabase" localSheetId="1" hidden="1">'走货线路名和申报币别要求-不能删'!$A$1:$C$101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Stone CL.</author>
    <author>CL.Stone</author>
  </authors>
  <commentList>
    <comment ref="A1" authorId="0">
      <text>
        <r>
          <rPr>
            <b/>
            <sz val="12"/>
            <rFont val="宋体"/>
            <charset val="134"/>
          </rPr>
          <t xml:space="preserve">
贵司内部订单号或者快递单号，或者FBA单号都可
</t>
        </r>
      </text>
    </comment>
    <comment ref="C1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14"/>
            <rFont val="宋体"/>
            <charset val="134"/>
          </rPr>
          <t xml:space="preserve">
如果有一票多个FBA号码一起发货，多出的FBA号请填写在C12备注栏！
如FBA123456788
（注意，不要U）</t>
        </r>
      </text>
    </comment>
    <comment ref="A2" authorId="0">
      <text>
        <r>
          <rPr>
            <sz val="12"/>
            <rFont val="宋体"/>
            <charset val="134"/>
          </rPr>
          <t xml:space="preserve">
货物准备交我司哪个仓库
如果交惠州仓和厦门仓，请在D12备注栏说明：交惠州仓或交厦门仓
</t>
        </r>
      </text>
    </comment>
    <comment ref="A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开户账号 
如没有可联系客服</t>
        </r>
      </text>
    </comment>
    <comment ref="C3" authorId="0">
      <text>
        <r>
          <rPr>
            <sz val="12"/>
            <rFont val="宋体"/>
            <charset val="134"/>
          </rPr>
          <t xml:space="preserve">
单票清关:是欧洲不包税渠道，单票不包税清关;
合并清关：几票合在一起清关（必须在C12备注栏写清楚哪几票合并）
美国清关：美国的所有渠道都选择美国清关！
包税：非美国的其他包税渠道
</t>
        </r>
      </text>
    </comment>
    <comment ref="A4" authorId="0">
      <text>
        <r>
          <rPr>
            <sz val="9"/>
            <rFont val="宋体"/>
            <charset val="134"/>
          </rPr>
          <t xml:space="preserve">
填写贵司的系统登录账号
如无请找专属客服索取
</t>
        </r>
      </text>
    </comment>
    <comment ref="A5" authorId="0">
      <text>
        <r>
          <rPr>
            <b/>
            <sz val="12"/>
            <rFont val="宋体"/>
            <charset val="134"/>
          </rPr>
          <t>Administrator:</t>
        </r>
        <r>
          <rPr>
            <sz val="12"/>
            <rFont val="宋体"/>
            <charset val="134"/>
          </rPr>
          <t xml:space="preserve">
买单报关：一般是不具备出口权，不具备出口退税的条件，不需要国内退税的企业
单独报关：国内需要退税的企业，需要提供报关资料（包含报关单 发票委托书 装箱单 申报要素等   
</t>
        </r>
      </text>
    </comment>
    <comment ref="A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请按以下标准填写：
英国按kg计费，全部填写英国；
英国按卡派计费，填写亚马逊仓库代码（非亚马逊地址除外）
美国海派、空运，按报价表的分区填写美西，美中，美东，FTW1属于美中填写FTW1作为目的国
美国卡派：填写亚马逊仓库代码（非亚马逊地址除外）
其他未列明国家 ，直接填写国家！（中文）</t>
        </r>
      </text>
    </comment>
    <comment ref="C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sz val="12"/>
            <rFont val="宋体"/>
            <charset val="134"/>
          </rPr>
          <t>自用VAT清关必填</t>
        </r>
      </text>
    </comment>
    <comment ref="C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自用VAT清关必填
</t>
        </r>
      </text>
    </comment>
    <comment ref="A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【必填】如果是亚马逊地址，必填亚马逊仓库代码；
如果不是亚马逊地址，可不填
</t>
        </r>
      </text>
    </comment>
    <comment ref="C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自用VAT清关必填
</t>
        </r>
      </text>
    </comment>
    <comment ref="C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自用VAT清关必填
</t>
        </r>
      </text>
    </comment>
    <comment ref="A11" authorId="0">
      <text>
        <r>
          <rPr>
            <b/>
            <sz val="9"/>
            <rFont val="宋体"/>
            <charset val="134"/>
          </rPr>
          <t>=</t>
        </r>
        <r>
          <rPr>
            <sz val="9"/>
            <rFont val="宋体"/>
            <charset val="134"/>
          </rPr>
          <t xml:space="preserve">
亚马逊地址可不填
非亚马逊地址必填！！！
</t>
        </r>
      </text>
    </comment>
    <comment ref="C13" authorId="0">
      <text>
        <r>
          <rPr>
            <sz val="16"/>
            <rFont val="宋体"/>
            <charset val="134"/>
          </rPr>
          <t xml:space="preserve">
需要填写邮箱的渠道有：
1，比利时递延海运快递派
2，比利时递延海运卡派
3，美国海运卡派私人地址/海外仓地址</t>
        </r>
      </text>
    </comment>
    <comment ref="A17" authorId="1">
      <text>
        <r>
          <rPr>
            <b/>
            <sz val="12"/>
            <rFont val="宋体"/>
            <charset val="134"/>
          </rPr>
          <t xml:space="preserve">
填外箱的FBA子单号（必须是19位）
按箱填写！
一箱货有多个产品，箱号重复填写即可
非亚马逊地址本身没箱号的 ，可以直接写箱号，如1，2，3……
不允许合并！！！不允许有回车！！</t>
        </r>
      </text>
    </comment>
    <comment ref="B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8位数的追踪编码</t>
        </r>
      </text>
    </comment>
    <comment ref="D17" authorId="1">
      <text>
        <r>
          <rPr>
            <sz val="9"/>
            <rFont val="宋体"/>
            <charset val="134"/>
          </rPr>
          <t>货物描述，相对精准的描述。</t>
        </r>
      </text>
    </comment>
    <comment ref="H17" authorId="0">
      <text>
        <r>
          <rPr>
            <b/>
            <sz val="11"/>
            <rFont val="宋体"/>
            <charset val="134"/>
          </rPr>
          <t>Administrator:
产品大类：带电,带磁,纺织品等,普货直接输入普货两个字即可
注意:多个类型注意用英文逗号隔开</t>
        </r>
        <r>
          <rPr>
            <sz val="9"/>
            <rFont val="宋体"/>
            <charset val="134"/>
          </rPr>
          <t xml:space="preserve">
</t>
        </r>
      </text>
    </comment>
    <comment ref="I17" authorId="0">
      <text>
        <r>
          <rPr>
            <b/>
            <sz val="12"/>
            <rFont val="宋体"/>
            <charset val="134"/>
          </rPr>
          <t>Administrator:</t>
        </r>
        <r>
          <rPr>
            <sz val="12"/>
            <rFont val="宋体"/>
            <charset val="134"/>
          </rPr>
          <t xml:space="preserve">
切记！一定是单箱的产品数量！！！！！！
不管任何情况下，这里都是填写单箱的产品数量！</t>
        </r>
      </text>
    </comment>
    <comment ref="J17" authorId="1">
      <text>
        <r>
          <rPr>
            <sz val="16"/>
            <rFont val="宋体"/>
            <charset val="134"/>
          </rPr>
          <t xml:space="preserve">
填货物的单位CTN，即货物的箱数
有多少箱就填多少箱，如果是混装产品对应箱数都写1
不得合并单元格！
</t>
        </r>
      </text>
    </comment>
    <comment ref="L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必填</t>
        </r>
      </text>
    </comment>
    <comment ref="M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必须填写纯数字 不得有其他字符</t>
        </r>
      </text>
    </comment>
    <comment ref="N17" authorId="2">
      <text>
        <r>
          <rPr>
            <sz val="9"/>
            <rFont val="宋体"/>
            <charset val="134"/>
          </rPr>
          <t>货物的高清图片</t>
        </r>
      </text>
    </comment>
    <comment ref="R17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 xml:space="preserve">
【必填】报价表上有要求提供销售链接的渠道</t>
        </r>
      </text>
    </comment>
    <comment ref="S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更多其他需要说明的问题 
</t>
        </r>
      </text>
    </comment>
  </commentList>
</comments>
</file>

<file path=xl/sharedStrings.xml><?xml version="1.0" encoding="utf-8"?>
<sst xmlns="http://schemas.openxmlformats.org/spreadsheetml/2006/main" count="638" uniqueCount="243">
  <si>
    <t>客户原单号：（必填）</t>
  </si>
  <si>
    <r>
      <t>FBA号：</t>
    </r>
    <r>
      <rPr>
        <sz val="12"/>
        <color rgb="FFFF0000"/>
        <rFont val="宋体"/>
        <charset val="134"/>
      </rPr>
      <t>（填写FBA主单号 12位</t>
    </r>
    <r>
      <rPr>
        <sz val="12"/>
        <color rgb="FF000000"/>
        <rFont val="宋体"/>
        <charset val="134"/>
      </rPr>
      <t>）</t>
    </r>
  </si>
  <si>
    <t>务必填写规范：(只做内容填充，不允许调整格式，不允许合并单元格，填写内容不允许有空格。)</t>
  </si>
  <si>
    <t>交货仓库：（必填）</t>
  </si>
  <si>
    <t>是否购买保险 （选填）：</t>
  </si>
  <si>
    <t>注意：表格中蓝色内容为必填项，黄色内容为选填项      
备注：1，成套的产品需注明单套包含的件数以及品名；      
2，垫子类、纸盒支架类需提供规格（如尺寸和高度），请填写到C12栏备注下      
3，图片请提供高清的（再缩放到单元格）；      
4、申报币种必须匹配：英国空运/海运/铁路（英镑），德国（欧元），美国（美金）--也可参考表格2      
5、一箱货有多个产品，箱号重复填写即可      
6、备注栏：C12栏备注下单特殊需求，例如备注和哪票货合并清关；U17栏备注产品信息，例如部分产品单独报关</t>
  </si>
  <si>
    <t>填写范本 请参考</t>
  </si>
  <si>
    <t>交货客户代号：（必填）</t>
  </si>
  <si>
    <t>清关方式（必填）：</t>
  </si>
  <si>
    <t>走货线路：（必填）</t>
  </si>
  <si>
    <t>发件人公司：</t>
  </si>
  <si>
    <t>报关方式：（必填）</t>
  </si>
  <si>
    <t>发件人地址：</t>
  </si>
  <si>
    <r>
      <t>目的地/国家：（必填）（</t>
    </r>
    <r>
      <rPr>
        <b/>
        <sz val="18"/>
        <color rgb="FFFFFF00"/>
        <rFont val="宋体"/>
        <charset val="134"/>
      </rPr>
      <t>中文</t>
    </r>
    <r>
      <rPr>
        <sz val="12"/>
        <rFont val="宋体"/>
        <charset val="134"/>
      </rPr>
      <t>）</t>
    </r>
  </si>
  <si>
    <t>VAT和EORI注册公司名：</t>
  </si>
  <si>
    <t>地址类型*（必填）</t>
  </si>
  <si>
    <t>VAT和EORI注册地址：</t>
  </si>
  <si>
    <t>收货地址名称/亚马逊仓库代码*</t>
  </si>
  <si>
    <t>VAT增值税号*</t>
  </si>
  <si>
    <t>收件公司（必填）：</t>
  </si>
  <si>
    <t>EORI号*</t>
  </si>
  <si>
    <t>收件人（必填） ：</t>
  </si>
  <si>
    <t>联系电话 （选填）：</t>
  </si>
  <si>
    <t>收件邮编：（必填）</t>
  </si>
  <si>
    <t>备注</t>
  </si>
  <si>
    <t>可以备注预计几号送仓或交惠州仓，厦门仓等；如有合并清关或者合并报关，需要明确哪几票合并</t>
  </si>
  <si>
    <t>省份/州（选填）：</t>
  </si>
  <si>
    <t>邮箱</t>
  </si>
  <si>
    <t>必填</t>
  </si>
  <si>
    <t>请看批注！部分走货渠道必填！</t>
  </si>
  <si>
    <t>城市（必填）：</t>
  </si>
  <si>
    <t>收件地址：（必填）</t>
  </si>
  <si>
    <t>总件数（必填）</t>
  </si>
  <si>
    <t>不得删除！</t>
  </si>
  <si>
    <r>
      <t xml:space="preserve">亚马逊FBA子单号/箱唛号（必填）（FBA号正确19位）
</t>
    </r>
    <r>
      <rPr>
        <b/>
        <sz val="14"/>
        <color rgb="FFFFFF00"/>
        <rFont val="宋体"/>
        <charset val="134"/>
      </rPr>
      <t>非亚马逊箱号就填写1  2  3 等数字  单一品名的比如有10箱就填写1~10（</t>
    </r>
    <r>
      <rPr>
        <b/>
        <sz val="14"/>
        <color rgb="FFFFC000"/>
        <rFont val="宋体"/>
        <charset val="134"/>
      </rPr>
      <t>注意使用符号~）</t>
    </r>
    <r>
      <rPr>
        <b/>
        <sz val="14"/>
        <color rgb="FFFFFF00"/>
        <rFont val="宋体"/>
        <charset val="134"/>
      </rPr>
      <t xml:space="preserve">
混装的产品要分行写（箱号相同代表是同一箱货） 如下面的T-恤 和运动鞋申报</t>
    </r>
  </si>
  <si>
    <t>Reference ID（亚马逊追踪编码）
不是亚马逊的就空着不填</t>
  </si>
  <si>
    <r>
      <t xml:space="preserve">中文品名（必填）
</t>
    </r>
    <r>
      <rPr>
        <b/>
        <sz val="14"/>
        <color rgb="FFFFFF00"/>
        <rFont val="宋体"/>
        <charset val="134"/>
      </rPr>
      <t>根据实际品名填写</t>
    </r>
  </si>
  <si>
    <r>
      <t xml:space="preserve">英文品名（必填）
</t>
    </r>
    <r>
      <rPr>
        <b/>
        <sz val="14"/>
        <color rgb="FFFFFF00"/>
        <rFont val="宋体"/>
        <charset val="134"/>
      </rPr>
      <t>根据实际英文品名填写</t>
    </r>
  </si>
  <si>
    <r>
      <t xml:space="preserve">材质（中英文填写）（必填）
</t>
    </r>
    <r>
      <rPr>
        <b/>
        <sz val="14"/>
        <color rgb="FFFFFF00"/>
        <rFont val="宋体"/>
        <charset val="134"/>
      </rPr>
      <t>根据实际填写</t>
    </r>
  </si>
  <si>
    <r>
      <t xml:space="preserve">用途（中英文填写）（必填）
</t>
    </r>
    <r>
      <rPr>
        <b/>
        <sz val="14"/>
        <color rgb="FFFFFF00"/>
        <rFont val="宋体"/>
        <charset val="134"/>
      </rPr>
      <t>根据实际填写</t>
    </r>
  </si>
  <si>
    <r>
      <t xml:space="preserve">国外海关编码（必填）
</t>
    </r>
    <r>
      <rPr>
        <b/>
        <sz val="14"/>
        <color rgb="FFFFFF00"/>
        <rFont val="宋体"/>
        <charset val="134"/>
      </rPr>
      <t>根据实际填写</t>
    </r>
  </si>
  <si>
    <r>
      <t xml:space="preserve">产品类型/属性 
</t>
    </r>
    <r>
      <rPr>
        <b/>
        <sz val="14"/>
        <color rgb="FFFFFF00"/>
        <rFont val="宋体"/>
        <charset val="134"/>
      </rPr>
      <t>带电/磁/液体/普货  根据实际情况填写</t>
    </r>
  </si>
  <si>
    <r>
      <t>单箱</t>
    </r>
    <r>
      <rPr>
        <b/>
        <sz val="14"/>
        <color rgb="FF000000"/>
        <rFont val="宋体"/>
        <charset val="134"/>
      </rPr>
      <t xml:space="preserve">产品数量PCS（必填）
</t>
    </r>
    <r>
      <rPr>
        <b/>
        <sz val="16"/>
        <color rgb="FFFFFF00"/>
        <rFont val="宋体"/>
        <charset val="134"/>
      </rPr>
      <t>根据</t>
    </r>
    <r>
      <rPr>
        <b/>
        <sz val="16"/>
        <color rgb="FFFF0000"/>
        <rFont val="宋体"/>
        <charset val="134"/>
      </rPr>
      <t>单箱</t>
    </r>
    <r>
      <rPr>
        <b/>
        <sz val="16"/>
        <color rgb="FFFFFF00"/>
        <rFont val="宋体"/>
        <charset val="134"/>
      </rPr>
      <t>实际填写</t>
    </r>
  </si>
  <si>
    <t>箱数/件数CTN（必填）表达一行的总箱数</t>
  </si>
  <si>
    <r>
      <t>申报单价币种</t>
    </r>
    <r>
      <rPr>
        <b/>
        <sz val="14"/>
        <color rgb="FFFFFF00"/>
        <rFont val="宋体"/>
        <charset val="0"/>
      </rPr>
      <t xml:space="preserve"> 
欧洲固定EUR 
英国固定GBP
其他国家固定USD</t>
    </r>
  </si>
  <si>
    <t>单个产品申报单价</t>
  </si>
  <si>
    <t>单个产品净重KG(必填) 一定要填数字 不能是文本</t>
  </si>
  <si>
    <r>
      <t>产品高清图片                       （</t>
    </r>
    <r>
      <rPr>
        <b/>
        <sz val="14"/>
        <color rgb="FFFFFF00"/>
        <rFont val="宋体"/>
        <charset val="134"/>
      </rPr>
      <t>必须缩在方框内</t>
    </r>
    <r>
      <rPr>
        <sz val="14"/>
        <color rgb="FF000000"/>
        <rFont val="宋体"/>
        <charset val="134"/>
      </rPr>
      <t>）</t>
    </r>
  </si>
  <si>
    <r>
      <t xml:space="preserve">品牌           </t>
    </r>
    <r>
      <rPr>
        <b/>
        <sz val="14"/>
        <color rgb="FFFF0000"/>
        <rFont val="宋体"/>
        <charset val="134"/>
      </rPr>
      <t>（如实申报）</t>
    </r>
  </si>
  <si>
    <r>
      <t xml:space="preserve">品牌类型             </t>
    </r>
    <r>
      <rPr>
        <b/>
        <sz val="14"/>
        <color rgb="FFFF0000"/>
        <rFont val="宋体"/>
        <charset val="134"/>
      </rPr>
      <t>（如实申报）</t>
    </r>
  </si>
  <si>
    <r>
      <t xml:space="preserve">型号            </t>
    </r>
    <r>
      <rPr>
        <b/>
        <sz val="14"/>
        <color rgb="FFFF0000"/>
        <rFont val="宋体"/>
        <charset val="134"/>
      </rPr>
      <t>（如实申报）</t>
    </r>
  </si>
  <si>
    <r>
      <t xml:space="preserve">销售链接                                         </t>
    </r>
    <r>
      <rPr>
        <b/>
        <sz val="14"/>
        <color rgb="FFFF0000"/>
        <rFont val="宋体"/>
        <charset val="134"/>
      </rPr>
      <t>（填写链接的前后不能有空格）</t>
    </r>
  </si>
  <si>
    <r>
      <t>备注</t>
    </r>
    <r>
      <rPr>
        <b/>
        <sz val="14"/>
        <color rgb="FFFF0000"/>
        <rFont val="宋体"/>
        <charset val="134"/>
      </rPr>
      <t>（产品的其他特殊说明）</t>
    </r>
  </si>
  <si>
    <t>产品单位
（个/包/条等）</t>
  </si>
  <si>
    <t>实重</t>
  </si>
  <si>
    <t>长</t>
  </si>
  <si>
    <t>宽</t>
  </si>
  <si>
    <t>高</t>
  </si>
  <si>
    <t>走货渠道</t>
  </si>
  <si>
    <t>申报币种</t>
  </si>
  <si>
    <t>国家</t>
  </si>
  <si>
    <t>币种</t>
  </si>
  <si>
    <t>报关方式</t>
  </si>
  <si>
    <t>欧洲国家</t>
  </si>
  <si>
    <t>中欧铁路UPS限时达</t>
  </si>
  <si>
    <t>EUR</t>
  </si>
  <si>
    <t>含税</t>
  </si>
  <si>
    <t>德国</t>
  </si>
  <si>
    <t>单独报关</t>
  </si>
  <si>
    <t>欧洲</t>
  </si>
  <si>
    <t>海运法国专线DPD包税</t>
  </si>
  <si>
    <t>荷兰</t>
  </si>
  <si>
    <t>合并单独报关</t>
  </si>
  <si>
    <t>海运法国专线DPD不包税</t>
  </si>
  <si>
    <t>VAT增值税递延</t>
  </si>
  <si>
    <t>捷克</t>
  </si>
  <si>
    <t>不报关</t>
  </si>
  <si>
    <t>中欧铁路UPS</t>
  </si>
  <si>
    <t>欧元</t>
  </si>
  <si>
    <t>波兰</t>
  </si>
  <si>
    <t>9810报关</t>
  </si>
  <si>
    <t>中欧铁路不包税UPS-PVA</t>
  </si>
  <si>
    <t>卢森堡</t>
  </si>
  <si>
    <t>9710报关</t>
  </si>
  <si>
    <t>中欧德国专线海运按公斤-含税</t>
  </si>
  <si>
    <t>比利时</t>
  </si>
  <si>
    <t>一达通单独报关</t>
  </si>
  <si>
    <t>奥地利</t>
  </si>
  <si>
    <t>中欧德国专线海运按公斤-不含税</t>
  </si>
  <si>
    <t>法国</t>
  </si>
  <si>
    <t>一达通9810报关</t>
  </si>
  <si>
    <t>中欧铁路超大件TNT专线</t>
  </si>
  <si>
    <t>西班牙</t>
  </si>
  <si>
    <t>一达通9710报关</t>
  </si>
  <si>
    <t>保加利亚</t>
  </si>
  <si>
    <t>德国海运卡派包税</t>
  </si>
  <si>
    <t>意大利</t>
  </si>
  <si>
    <t>克罗地亚</t>
  </si>
  <si>
    <t>德国海运卡派-PVA</t>
  </si>
  <si>
    <t>葡萄牙</t>
  </si>
  <si>
    <t>德国海运卡派包税-按KG</t>
  </si>
  <si>
    <t>瑞典</t>
  </si>
  <si>
    <t>丹麦</t>
  </si>
  <si>
    <t>中欧海运快船比利时清包税DPD</t>
  </si>
  <si>
    <t>爱沙尼亚</t>
  </si>
  <si>
    <t>中欧海运亚马逊特惠</t>
  </si>
  <si>
    <t>立陶宛</t>
  </si>
  <si>
    <t>芬兰</t>
  </si>
  <si>
    <t>中欧海运亚马逊特惠不包税</t>
  </si>
  <si>
    <t>VAT增值税预付</t>
  </si>
  <si>
    <t>欧洲海运电动车渠道</t>
  </si>
  <si>
    <t>欧洲海运普货超大件DHL渠道</t>
  </si>
  <si>
    <t>希腊</t>
  </si>
  <si>
    <t>中欧海运超大件TNT</t>
  </si>
  <si>
    <t>斯洛伐克</t>
  </si>
  <si>
    <t>匈牙利</t>
  </si>
  <si>
    <t>中欧海运快船比利时清不含税PVA</t>
  </si>
  <si>
    <t>冰岛</t>
  </si>
  <si>
    <t>中欧德国专线海运按方-含税</t>
  </si>
  <si>
    <t>罗马尼亚</t>
  </si>
  <si>
    <t>爱尔兰</t>
  </si>
  <si>
    <t>中欧德国专线海运按方-不含税</t>
  </si>
  <si>
    <t>中欧海运快船希腊比雷清DPD</t>
  </si>
  <si>
    <t>拉脱维亚</t>
  </si>
  <si>
    <t>中欧大陆空派</t>
  </si>
  <si>
    <t>中欧香港空派</t>
  </si>
  <si>
    <t>中欧空派不包税</t>
  </si>
  <si>
    <t>斯洛文尼亚</t>
  </si>
  <si>
    <t>摩纳哥</t>
  </si>
  <si>
    <t>欧洲空派TNT/卡车超大件不包税</t>
  </si>
  <si>
    <t>欧洲空派TNT/卡车超大件</t>
  </si>
  <si>
    <t>英国</t>
  </si>
  <si>
    <t>GBP</t>
  </si>
  <si>
    <t>挪威</t>
  </si>
  <si>
    <t>欧洲海运普货超大件DHL渠道-不包税</t>
  </si>
  <si>
    <t>美国</t>
  </si>
  <si>
    <t>USD</t>
  </si>
  <si>
    <t>中欧卡车PVA-UPS</t>
  </si>
  <si>
    <t>加拿大</t>
  </si>
  <si>
    <t>中欧铁路整柜</t>
  </si>
  <si>
    <t>澳洲</t>
  </si>
  <si>
    <t>中欧铁路整柜不包税</t>
  </si>
  <si>
    <t>墨西哥</t>
  </si>
  <si>
    <t>中欧海运整柜</t>
  </si>
  <si>
    <t>日本</t>
  </si>
  <si>
    <t>中欧铁路亚马逊特惠</t>
  </si>
  <si>
    <t>菲律宾</t>
  </si>
  <si>
    <t>中欧铁路亚马逊特惠不包税</t>
  </si>
  <si>
    <t>台湾</t>
  </si>
  <si>
    <t>德国海外仓暂存</t>
  </si>
  <si>
    <t>泰国</t>
  </si>
  <si>
    <t>电池专线DHL渠道</t>
  </si>
  <si>
    <t>伊朗</t>
  </si>
  <si>
    <t>英国海外仓暂存</t>
  </si>
  <si>
    <t>英镑</t>
  </si>
  <si>
    <t>越南</t>
  </si>
  <si>
    <t>英国海外仓暂存-PVA递延</t>
  </si>
  <si>
    <t>新加坡</t>
  </si>
  <si>
    <t>英国铁路包税</t>
  </si>
  <si>
    <t>英国铁路-不包税</t>
  </si>
  <si>
    <t>英国铁路-PVA</t>
  </si>
  <si>
    <t>英国铁路卡派包税</t>
  </si>
  <si>
    <t>英国铁路卡派-VAT</t>
  </si>
  <si>
    <t>英国铁路卡派-PVA</t>
  </si>
  <si>
    <t>英国海运包税</t>
  </si>
  <si>
    <t>英国海运电池专线-含税</t>
  </si>
  <si>
    <t>英国海运电池专线-PVA-DG</t>
  </si>
  <si>
    <t>英国海运-不包税</t>
  </si>
  <si>
    <t>英国海运-PVA</t>
  </si>
  <si>
    <t>英国海运卡派-PVA</t>
  </si>
  <si>
    <t>英国海运卡派-PVA按公斤</t>
  </si>
  <si>
    <t>英国海运卡派包税</t>
  </si>
  <si>
    <t>英国海运卡派包税按公斤</t>
  </si>
  <si>
    <t>英国卡车-包税</t>
  </si>
  <si>
    <t>英国海运卡派-DG</t>
  </si>
  <si>
    <t>英国海运卡派-PVA-DG</t>
  </si>
  <si>
    <t>英国海运卡派-VAT-DG</t>
  </si>
  <si>
    <t>墨西哥海运卡派专线</t>
  </si>
  <si>
    <t>美金</t>
  </si>
  <si>
    <t>美国专线</t>
  </si>
  <si>
    <t>日本空派快线香港飞</t>
  </si>
  <si>
    <t>日本空派慢线大陆飞</t>
  </si>
  <si>
    <t>美森海派</t>
  </si>
  <si>
    <t>美森正班</t>
  </si>
  <si>
    <t>美森海卡包税</t>
  </si>
  <si>
    <t>美森海卡不包税</t>
  </si>
  <si>
    <t>盐田海派</t>
  </si>
  <si>
    <t>盐田海卡包税</t>
  </si>
  <si>
    <t>盐田海卡不包税</t>
  </si>
  <si>
    <t>美国阿里海派</t>
  </si>
  <si>
    <t>以星海派</t>
  </si>
  <si>
    <t>以星海卡包税</t>
  </si>
  <si>
    <t>以星海卡不包税</t>
  </si>
  <si>
    <t>加拿大专线</t>
  </si>
  <si>
    <t>加拿大海派</t>
  </si>
  <si>
    <t>加拿大海卡包税</t>
  </si>
  <si>
    <t>加拿大海卡不包税</t>
  </si>
  <si>
    <t>澳大利专线</t>
  </si>
  <si>
    <t>澳大利亚</t>
  </si>
  <si>
    <t>澳大利亚海运包税</t>
  </si>
  <si>
    <t>澳大利亚海卡-不包税</t>
  </si>
  <si>
    <t>新加坡空派不包税</t>
  </si>
  <si>
    <t>菲律宾专线</t>
  </si>
  <si>
    <t xml:space="preserve">台湾专线</t>
  </si>
  <si>
    <t>泰国专线</t>
  </si>
  <si>
    <t>伊朗专线</t>
  </si>
  <si>
    <t>越南专线</t>
  </si>
  <si>
    <t>新加坡FBA海派</t>
  </si>
  <si>
    <t>欧洲空派普货快递专线</t>
  </si>
  <si>
    <t>海运荷兰仓专车-按KG</t>
  </si>
  <si>
    <t>海运荷兰仓专车-按方</t>
  </si>
  <si>
    <t>海运德国仓专车-按KG</t>
  </si>
  <si>
    <t>海运德国仓专车-按方</t>
  </si>
  <si>
    <t>中欧德国专线铁路按公斤</t>
  </si>
  <si>
    <t>中欧卡航普货超大件DHL渠道不包税</t>
  </si>
  <si>
    <t>中欧卡航普货超大件DHL渠道</t>
  </si>
  <si>
    <t>中欧卡航特惠含税</t>
  </si>
  <si>
    <t>中欧卡航特惠不包税</t>
  </si>
  <si>
    <t>中欧卡航不包税</t>
  </si>
  <si>
    <t>中欧卡航含税</t>
  </si>
  <si>
    <t>欧洲铁路普货超大件DHL渠道</t>
  </si>
  <si>
    <t>欧洲铁路普货超大件DHL渠道递延-PVA</t>
  </si>
  <si>
    <t>英国海运电池卡派-含税</t>
  </si>
  <si>
    <t>英国卡车PVA</t>
  </si>
  <si>
    <t>英国卡车VAT</t>
  </si>
  <si>
    <t>中欧德国专线卡航按方-含税</t>
  </si>
  <si>
    <t>中欧德国专线卡航按公斤-含税</t>
  </si>
  <si>
    <t>中欧德国专线铁路按方-不含税</t>
  </si>
  <si>
    <t>中欧德国专线铁路按方-含税</t>
  </si>
  <si>
    <t>中欧德国专线铁路按公斤-不含税</t>
  </si>
  <si>
    <t>中欧德国专线铁路按公斤-含税</t>
  </si>
  <si>
    <t>中欧德国专线卡航按公斤-不含税</t>
  </si>
  <si>
    <t>中欧卡航卡派按方-递延</t>
  </si>
  <si>
    <t>中欧卡航卡派按方</t>
  </si>
  <si>
    <t>英国空运不包税</t>
  </si>
  <si>
    <t>英国空运包税</t>
  </si>
  <si>
    <t>英国空运递延PVA</t>
  </si>
  <si>
    <t>英国海运海外仓暂存按方-不包税VAT</t>
  </si>
  <si>
    <t>英国海运海外仓暂存按方-递延PVA</t>
  </si>
  <si>
    <t>英国海运海外仓暂存按方包税</t>
  </si>
  <si>
    <t>英国海运海外仓暂存按KG包税</t>
  </si>
  <si>
    <t>英国海运海外仓暂存按KG-PVA递延</t>
  </si>
  <si>
    <t>英国海运海外仓暂存按KG-不包税VAT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</si>
</sst>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</numFmts>
  <fonts count="61">
    <font>
      <sz val="11"/>
      <name val="宋体"/>
      <charset val="134"/>
    </font>
    <font>
      <sz val="10"/>
      <name val="微软雅黑"/>
      <charset val="1"/>
    </font>
    <font>
      <b/>
      <sz val="12"/>
      <name val="宋体"/>
      <charset val="134"/>
      <scheme val="minor"/>
    </font>
    <font>
      <b/>
      <sz val="12"/>
      <name val="宋体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0"/>
    </font>
    <font>
      <sz val="12"/>
      <color rgb="FF000000"/>
      <name val="宋体"/>
      <charset val="134"/>
    </font>
    <font>
      <sz val="12"/>
      <color rgb="FFFF0000"/>
      <name val="宋体"/>
      <charset val="134"/>
    </font>
    <font>
      <sz val="12"/>
      <name val="宋体"/>
      <charset val="134"/>
    </font>
    <font>
      <sz val="12"/>
      <color indexed="8"/>
      <name val="宋体"/>
      <charset val="134"/>
    </font>
    <font>
      <sz val="14"/>
      <color rgb="FF0000FF"/>
      <name val="宋体"/>
      <charset val="134"/>
    </font>
    <font>
      <b/>
      <sz val="20"/>
      <color rgb="FF000000"/>
      <name val="宋体"/>
      <charset val="134"/>
    </font>
    <font>
      <b/>
      <sz val="14"/>
      <color rgb="FF000000"/>
      <name val="宋体"/>
      <charset val="134"/>
    </font>
    <font>
      <b/>
      <sz val="14"/>
      <name val="宋体"/>
      <charset val="134"/>
    </font>
    <font>
      <b/>
      <sz val="11"/>
      <name val="宋体"/>
      <charset val="134"/>
    </font>
    <font>
      <sz val="10"/>
      <name val="宋体"/>
      <charset val="134"/>
    </font>
    <font>
      <b/>
      <sz val="26"/>
      <name val="宋体"/>
      <charset val="134"/>
    </font>
    <font>
      <b/>
      <sz val="9"/>
      <color rgb="FFFF0000"/>
      <name val="宋体"/>
      <charset val="134"/>
    </font>
    <font>
      <b/>
      <sz val="11"/>
      <color rgb="FFFF0000"/>
      <name val="宋体"/>
      <charset val="134"/>
    </font>
    <font>
      <sz val="14"/>
      <name val="宋体"/>
      <charset val="134"/>
    </font>
    <font>
      <b/>
      <sz val="14"/>
      <color rgb="FFFFFF00"/>
      <name val="宋体"/>
      <charset val="134"/>
    </font>
    <font>
      <b/>
      <sz val="14"/>
      <color rgb="FF000000"/>
      <name val="宋体"/>
      <charset val="0"/>
    </font>
    <font>
      <b/>
      <sz val="16"/>
      <color rgb="FFFFFF00"/>
      <name val="宋体"/>
      <charset val="134"/>
    </font>
    <font>
      <b/>
      <sz val="14"/>
      <color rgb="FFFF0000"/>
      <name val="宋体"/>
      <charset val="134"/>
    </font>
    <font>
      <b/>
      <sz val="16"/>
      <color rgb="FFFF0000"/>
      <name val="宋体"/>
      <charset val="134"/>
    </font>
    <font>
      <sz val="10.5"/>
      <color rgb="FF191919"/>
      <name val="宋体"/>
      <charset val="134"/>
    </font>
    <font>
      <u/>
      <sz val="11"/>
      <color rgb="FF800080"/>
      <name val="宋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4"/>
      <color rgb="FFFFFF00"/>
      <name val="宋体"/>
      <charset val="0"/>
    </font>
    <font>
      <b/>
      <sz val="18"/>
      <color rgb="FFFFFF00"/>
      <name val="宋体"/>
      <charset val="134"/>
    </font>
    <font>
      <b/>
      <sz val="14"/>
      <color rgb="FFFFC000"/>
      <name val="宋体"/>
      <charset val="134"/>
    </font>
    <font>
      <sz val="14"/>
      <color rgb="FF000000"/>
      <name val="宋体"/>
      <charset val="134"/>
    </font>
    <font>
      <b/>
      <sz val="11"/>
      <name val="宋体"/>
      <charset val="134"/>
    </font>
    <font>
      <sz val="12"/>
      <name val="宋体"/>
      <charset val="134"/>
    </font>
    <font>
      <sz val="16"/>
      <name val="宋体"/>
      <charset val="134"/>
    </font>
    <font>
      <sz val="9"/>
      <name val="宋体"/>
      <charset val="134"/>
    </font>
    <font>
      <sz val="14"/>
      <name val="宋体"/>
      <charset val="134"/>
    </font>
    <font>
      <b/>
      <sz val="9"/>
      <name val="宋体"/>
      <charset val="134"/>
    </font>
    <font>
      <b/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1" fillId="0" borderId="0" applyFont="0" applyFill="0" applyBorder="0" applyAlignment="0" applyProtection="0">
      <alignment vertical="center"/>
    </xf>
    <xf numFmtId="44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4" borderId="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5" borderId="10" applyNumberFormat="0" applyAlignment="0" applyProtection="0">
      <alignment vertical="center"/>
    </xf>
    <xf numFmtId="0" fontId="41" fillId="6" borderId="11" applyNumberFormat="0" applyAlignment="0" applyProtection="0">
      <alignment vertical="center"/>
    </xf>
    <xf numFmtId="0" fontId="42" fillId="6" borderId="10" applyNumberFormat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ill="1">
      <alignment vertical="center"/>
    </xf>
    <xf numFmtId="49" fontId="1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>
      <alignment vertical="center"/>
    </xf>
    <xf numFmtId="0" fontId="0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0" fontId="2" fillId="0" borderId="1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2" borderId="2" xfId="6" applyFont="1" applyFill="1" applyBorder="1" applyAlignment="1" applyProtection="1">
      <alignment horizontal="left" vertical="center"/>
      <protection locked="0"/>
    </xf>
    <xf numFmtId="0" fontId="4" fillId="2" borderId="2" xfId="0" applyFont="1" applyFill="1" applyBorder="1" applyAlignment="1">
      <alignment horizontal="left"/>
    </xf>
    <xf numFmtId="0" fontId="4" fillId="0" borderId="2" xfId="6" applyFont="1" applyFill="1" applyBorder="1" applyAlignment="1" applyProtection="1">
      <alignment horizontal="left" vertical="center"/>
      <protection locked="0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5" fillId="0" borderId="1" xfId="6" applyFont="1" applyFill="1" applyBorder="1" applyAlignment="1" applyProtection="1">
      <alignment vertical="center"/>
      <protection locked="0"/>
    </xf>
    <xf numFmtId="0" fontId="0" fillId="0" borderId="5" xfId="0" applyFont="1" applyFill="1" applyBorder="1" applyAlignment="1">
      <alignment horizontal="center" vertical="center"/>
    </xf>
    <xf numFmtId="0" fontId="4" fillId="0" borderId="1" xfId="6" applyFont="1" applyFill="1" applyBorder="1" applyAlignment="1" applyProtection="1">
      <alignment horizontal="left" vertical="center"/>
      <protection locked="0"/>
    </xf>
    <xf numFmtId="0" fontId="6" fillId="0" borderId="6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 applyProtection="1">
      <alignment horizontal="left" vertical="center"/>
      <protection locked="0"/>
    </xf>
    <xf numFmtId="0" fontId="8" fillId="0" borderId="0" xfId="0" applyFont="1" applyFill="1" applyBorder="1" applyAlignment="1" applyProtection="1">
      <alignment horizontal="left" vertical="center" wrapText="1"/>
      <protection locked="0"/>
    </xf>
    <xf numFmtId="0" fontId="9" fillId="0" borderId="1" xfId="0" applyFont="1" applyFill="1" applyBorder="1" applyAlignment="1" applyProtection="1">
      <alignment horizontal="left" vertical="center" wrapText="1"/>
      <protection locked="0"/>
    </xf>
    <xf numFmtId="0" fontId="9" fillId="0" borderId="0" xfId="0" applyFont="1" applyFill="1" applyBorder="1" applyAlignment="1" applyProtection="1">
      <alignment horizontal="left" vertical="center" wrapText="1"/>
      <protection locked="0"/>
    </xf>
    <xf numFmtId="0" fontId="9" fillId="0" borderId="0" xfId="0" applyNumberFormat="1" applyFont="1" applyFill="1" applyBorder="1" applyAlignment="1" applyProtection="1">
      <alignment horizontal="left" vertical="center" wrapText="1"/>
      <protection locked="0"/>
    </xf>
    <xf numFmtId="0" fontId="9" fillId="0" borderId="0" xfId="0" applyFont="1" applyFill="1" applyBorder="1" applyAlignment="1" applyProtection="1">
      <alignment horizontal="left" vertical="center" wrapText="1"/>
    </xf>
    <xf numFmtId="0" fontId="10" fillId="3" borderId="1" xfId="0" applyFont="1" applyFill="1" applyBorder="1" applyAlignment="1" applyProtection="1">
      <alignment horizontal="left" vertical="center"/>
      <protection locked="0"/>
    </xf>
    <xf numFmtId="0" fontId="10" fillId="0" borderId="1" xfId="0" applyNumberFormat="1" applyFont="1" applyFill="1" applyBorder="1" applyAlignment="1" applyProtection="1">
      <alignment horizontal="left" vertical="center"/>
      <protection locked="0"/>
    </xf>
    <xf numFmtId="0" fontId="10" fillId="2" borderId="1" xfId="0" applyFont="1" applyFill="1" applyBorder="1" applyAlignment="1" applyProtection="1">
      <alignment horizontal="left" vertical="center"/>
      <protection locked="0"/>
    </xf>
    <xf numFmtId="176" fontId="10" fillId="0" borderId="1" xfId="0" applyNumberFormat="1" applyFont="1" applyFill="1" applyBorder="1" applyAlignment="1" applyProtection="1">
      <alignment horizontal="left" vertical="center"/>
      <protection locked="0"/>
    </xf>
    <xf numFmtId="49" fontId="10" fillId="0" borderId="1" xfId="0" applyNumberFormat="1" applyFont="1" applyFill="1" applyBorder="1" applyAlignment="1" applyProtection="1">
      <alignment horizontal="left" vertical="center"/>
      <protection locked="0"/>
    </xf>
    <xf numFmtId="0" fontId="10" fillId="0" borderId="1" xfId="0" applyFont="1" applyFill="1" applyBorder="1" applyAlignment="1" applyProtection="1">
      <alignment horizontal="left" vertical="center"/>
      <protection locked="0"/>
    </xf>
    <xf numFmtId="0" fontId="10" fillId="0" borderId="0" xfId="0" applyFont="1" applyFill="1" applyBorder="1" applyAlignment="1" applyProtection="1">
      <alignment horizontal="left" vertical="center"/>
      <protection locked="0"/>
    </xf>
    <xf numFmtId="0" fontId="11" fillId="0" borderId="1" xfId="0" applyNumberFormat="1" applyFont="1" applyFill="1" applyBorder="1" applyAlignment="1" applyProtection="1">
      <alignment horizontal="left" vertical="center"/>
    </xf>
    <xf numFmtId="49" fontId="12" fillId="0" borderId="1" xfId="0" applyNumberFormat="1" applyFont="1" applyFill="1" applyBorder="1" applyAlignment="1" applyProtection="1">
      <alignment horizontal="left" vertical="center"/>
      <protection locked="0"/>
    </xf>
    <xf numFmtId="0" fontId="12" fillId="3" borderId="1" xfId="0" applyFont="1" applyFill="1" applyBorder="1" applyAlignment="1" applyProtection="1">
      <alignment horizontal="left" vertical="center"/>
      <protection locked="0"/>
    </xf>
    <xf numFmtId="49" fontId="10" fillId="0" borderId="1" xfId="0" applyNumberFormat="1" applyFont="1" applyFill="1" applyBorder="1" applyAlignment="1" applyProtection="1">
      <alignment horizontal="left" vertical="center" wrapText="1"/>
      <protection locked="0"/>
    </xf>
    <xf numFmtId="49" fontId="13" fillId="0" borderId="1" xfId="0" applyNumberFormat="1" applyFont="1" applyFill="1" applyBorder="1" applyAlignment="1" applyProtection="1">
      <alignment horizontal="left" vertical="center"/>
      <protection locked="0"/>
    </xf>
    <xf numFmtId="0" fontId="14" fillId="0" borderId="1" xfId="6" applyFont="1" applyFill="1" applyBorder="1" applyAlignment="1" applyProtection="1">
      <alignment horizontal="left" vertical="center"/>
      <protection locked="0"/>
    </xf>
    <xf numFmtId="0" fontId="3" fillId="0" borderId="1" xfId="0" applyFont="1" applyFill="1" applyBorder="1" applyAlignment="1" applyProtection="1">
      <alignment horizontal="left" vertical="center"/>
      <protection locked="0"/>
    </xf>
    <xf numFmtId="0" fontId="3" fillId="0" borderId="1" xfId="0" applyFont="1" applyFill="1" applyBorder="1" applyAlignment="1" applyProtection="1">
      <alignment horizontal="left" vertical="center" wrapText="1"/>
      <protection locked="0"/>
    </xf>
    <xf numFmtId="0" fontId="10" fillId="0" borderId="1" xfId="0" applyFont="1" applyFill="1" applyBorder="1" applyAlignment="1" applyProtection="1">
      <alignment horizontal="left" vertical="center" wrapText="1"/>
      <protection locked="0"/>
    </xf>
    <xf numFmtId="0" fontId="15" fillId="0" borderId="1" xfId="0" applyNumberFormat="1" applyFont="1" applyFill="1" applyBorder="1" applyAlignment="1" applyProtection="1">
      <alignment horizontal="center" vertical="center"/>
      <protection locked="0"/>
    </xf>
    <xf numFmtId="0" fontId="16" fillId="3" borderId="3" xfId="0" applyFont="1" applyFill="1" applyBorder="1" applyAlignment="1" applyProtection="1">
      <alignment horizontal="left" vertical="center" wrapText="1"/>
      <protection locked="0"/>
    </xf>
    <xf numFmtId="0" fontId="0" fillId="0" borderId="0" xfId="0" applyFont="1">
      <alignment vertical="center"/>
    </xf>
    <xf numFmtId="0" fontId="9" fillId="0" borderId="1" xfId="0" applyNumberFormat="1" applyFont="1" applyFill="1" applyBorder="1" applyAlignment="1" applyProtection="1">
      <alignment horizontal="left" vertical="center" wrapText="1"/>
      <protection locked="0"/>
    </xf>
    <xf numFmtId="49" fontId="0" fillId="0" borderId="1" xfId="0" applyNumberFormat="1" applyFont="1" applyFill="1" applyBorder="1" applyAlignment="1" applyProtection="1">
      <alignment horizontal="left" vertical="center"/>
      <protection locked="0"/>
    </xf>
    <xf numFmtId="0" fontId="9" fillId="0" borderId="3" xfId="0" applyFont="1" applyFill="1" applyBorder="1" applyAlignment="1" applyProtection="1">
      <alignment horizontal="left" vertical="center" wrapText="1"/>
      <protection locked="0"/>
    </xf>
    <xf numFmtId="0" fontId="9" fillId="0" borderId="3" xfId="0" applyNumberFormat="1" applyFont="1" applyFill="1" applyBorder="1" applyAlignment="1" applyProtection="1">
      <alignment horizontal="left" vertical="center" wrapText="1"/>
      <protection locked="0"/>
    </xf>
    <xf numFmtId="49" fontId="0" fillId="0" borderId="3" xfId="0" applyNumberFormat="1" applyFont="1" applyFill="1" applyBorder="1" applyAlignment="1" applyProtection="1">
      <alignment horizontal="left" vertical="center"/>
      <protection locked="0"/>
    </xf>
    <xf numFmtId="0" fontId="17" fillId="0" borderId="0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Border="1" applyAlignment="1" applyProtection="1">
      <alignment horizontal="left" vertical="center"/>
      <protection locked="0"/>
    </xf>
    <xf numFmtId="0" fontId="18" fillId="0" borderId="0" xfId="0" applyFont="1" applyFill="1" applyBorder="1" applyAlignment="1" applyProtection="1">
      <alignment horizontal="left" vertical="center" wrapText="1"/>
      <protection locked="0"/>
    </xf>
    <xf numFmtId="0" fontId="19" fillId="0" borderId="0" xfId="0" applyFont="1" applyFill="1" applyBorder="1" applyAlignment="1" applyProtection="1">
      <alignment horizontal="left" vertical="center" wrapText="1"/>
      <protection locked="0"/>
    </xf>
    <xf numFmtId="0" fontId="20" fillId="2" borderId="0" xfId="0" applyFont="1" applyFill="1" applyAlignment="1" applyProtection="1">
      <alignment horizontal="center" vertical="center" wrapText="1"/>
      <protection locked="0"/>
    </xf>
    <xf numFmtId="0" fontId="11" fillId="0" borderId="0" xfId="0" applyFont="1" applyFill="1" applyAlignment="1" applyProtection="1">
      <alignment vertical="center" wrapText="1"/>
      <protection locked="0"/>
    </xf>
    <xf numFmtId="0" fontId="18" fillId="0" borderId="0" xfId="0" applyFont="1" applyFill="1" applyBorder="1" applyAlignment="1" applyProtection="1">
      <alignment horizontal="left" vertical="center"/>
      <protection locked="0"/>
    </xf>
    <xf numFmtId="0" fontId="21" fillId="0" borderId="0" xfId="0" applyFont="1" applyFill="1" applyAlignment="1" applyProtection="1">
      <alignment horizontal="center" vertical="center" wrapText="1"/>
      <protection locked="0"/>
    </xf>
    <xf numFmtId="0" fontId="22" fillId="0" borderId="0" xfId="0" applyFont="1" applyFill="1" applyBorder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49" fontId="0" fillId="0" borderId="1" xfId="0" applyNumberFormat="1" applyFont="1" applyFill="1" applyBorder="1" applyAlignment="1" applyProtection="1">
      <alignment horizontal="left" vertical="center" wrapText="1"/>
      <protection locked="0"/>
    </xf>
    <xf numFmtId="0" fontId="0" fillId="0" borderId="1" xfId="0" applyNumberFormat="1" applyFont="1" applyFill="1" applyBorder="1" applyAlignment="1" applyProtection="1">
      <alignment horizontal="left" vertical="center"/>
      <protection locked="0"/>
    </xf>
    <xf numFmtId="49" fontId="0" fillId="0" borderId="3" xfId="0" applyNumberFormat="1" applyFont="1" applyFill="1" applyBorder="1" applyAlignment="1" applyProtection="1">
      <alignment horizontal="left" vertical="center" wrapText="1"/>
      <protection locked="0"/>
    </xf>
    <xf numFmtId="0" fontId="0" fillId="0" borderId="3" xfId="0" applyNumberFormat="1" applyFont="1" applyFill="1" applyBorder="1" applyAlignment="1" applyProtection="1">
      <alignment horizontal="left" vertical="center"/>
      <protection locked="0"/>
    </xf>
    <xf numFmtId="0" fontId="18" fillId="0" borderId="0" xfId="0" applyFont="1" applyFill="1" applyBorder="1" applyAlignment="1" applyProtection="1">
      <alignment horizontal="left" vertical="center" wrapText="1"/>
    </xf>
    <xf numFmtId="0" fontId="20" fillId="2" borderId="0" xfId="0" applyFont="1" applyFill="1" applyAlignment="1" applyProtection="1">
      <alignment horizontal="center" vertical="center" wrapText="1"/>
    </xf>
    <xf numFmtId="0" fontId="11" fillId="0" borderId="0" xfId="0" applyFont="1" applyFill="1" applyAlignment="1" applyProtection="1">
      <alignment vertical="center" wrapText="1"/>
    </xf>
    <xf numFmtId="0" fontId="22" fillId="0" borderId="0" xfId="0" applyFont="1" applyFill="1" applyBorder="1" applyAlignment="1" applyProtection="1">
      <alignment horizontal="left" vertical="center" wrapText="1"/>
      <protection locked="0"/>
    </xf>
    <xf numFmtId="0" fontId="18" fillId="0" borderId="0" xfId="0" applyFont="1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left" vertical="center"/>
    </xf>
    <xf numFmtId="0" fontId="23" fillId="3" borderId="3" xfId="0" applyFont="1" applyFill="1" applyBorder="1" applyAlignment="1" applyProtection="1">
      <alignment horizontal="left" vertical="center" wrapText="1"/>
      <protection locked="0"/>
    </xf>
    <xf numFmtId="49" fontId="24" fillId="3" borderId="3" xfId="0" applyNumberFormat="1" applyFont="1" applyFill="1" applyBorder="1" applyAlignment="1" applyProtection="1">
      <alignment horizontal="left" vertical="center" wrapText="1"/>
      <protection locked="0"/>
    </xf>
    <xf numFmtId="0" fontId="25" fillId="3" borderId="1" xfId="0" applyFont="1" applyFill="1" applyBorder="1" applyAlignment="1" applyProtection="1">
      <alignment horizontal="left" vertical="center" wrapText="1"/>
    </xf>
    <xf numFmtId="0" fontId="26" fillId="3" borderId="3" xfId="0" applyFont="1" applyFill="1" applyBorder="1" applyAlignment="1" applyProtection="1">
      <alignment horizontal="left" vertical="center" wrapText="1"/>
      <protection locked="0"/>
    </xf>
    <xf numFmtId="0" fontId="0" fillId="0" borderId="1" xfId="0" applyNumberFormat="1" applyFont="1" applyFill="1" applyBorder="1" applyAlignment="1" applyProtection="1">
      <alignment horizontal="left" vertical="center"/>
    </xf>
    <xf numFmtId="177" fontId="0" fillId="0" borderId="1" xfId="0" applyNumberFormat="1" applyFont="1" applyFill="1" applyBorder="1" applyAlignment="1" applyProtection="1">
      <alignment horizontal="left" vertical="center"/>
      <protection locked="0"/>
    </xf>
    <xf numFmtId="0" fontId="0" fillId="0" borderId="3" xfId="0" applyNumberFormat="1" applyFont="1" applyFill="1" applyBorder="1" applyAlignment="1" applyProtection="1">
      <alignment horizontal="left" vertical="center"/>
    </xf>
    <xf numFmtId="177" fontId="0" fillId="0" borderId="3" xfId="0" applyNumberFormat="1" applyFont="1" applyFill="1" applyBorder="1" applyAlignment="1" applyProtection="1">
      <alignment horizontal="left" vertical="center"/>
      <protection locked="0"/>
    </xf>
    <xf numFmtId="0" fontId="27" fillId="0" borderId="0" xfId="0" applyFont="1" applyFill="1" applyBorder="1" applyAlignment="1" applyProtection="1">
      <alignment horizontal="left" vertical="center"/>
      <protection locked="0"/>
    </xf>
    <xf numFmtId="0" fontId="24" fillId="3" borderId="3" xfId="0" applyFont="1" applyFill="1" applyBorder="1" applyAlignment="1" applyProtection="1">
      <alignment horizontal="left" vertical="center" wrapText="1"/>
      <protection locked="0"/>
    </xf>
    <xf numFmtId="0" fontId="16" fillId="3" borderId="1" xfId="0" applyFont="1" applyFill="1" applyBorder="1" applyAlignment="1" applyProtection="1">
      <alignment horizontal="left" vertical="center" wrapText="1"/>
      <protection locked="0"/>
    </xf>
    <xf numFmtId="0" fontId="16" fillId="2" borderId="3" xfId="0" applyFont="1" applyFill="1" applyBorder="1" applyAlignment="1" applyProtection="1">
      <alignment horizontal="left" vertical="center" wrapText="1"/>
      <protection locked="0"/>
    </xf>
    <xf numFmtId="0" fontId="28" fillId="0" borderId="0" xfId="0" applyFont="1" applyFill="1" applyBorder="1" applyAlignment="1" applyProtection="1">
      <alignment horizontal="left" vertical="center"/>
      <protection locked="0"/>
    </xf>
    <xf numFmtId="0" fontId="16" fillId="2" borderId="1" xfId="0" applyFont="1" applyFill="1" applyBorder="1" applyAlignment="1" applyProtection="1">
      <alignment horizontal="left" vertical="center" wrapText="1"/>
      <protection locked="0"/>
    </xf>
    <xf numFmtId="0" fontId="29" fillId="0" borderId="1" xfId="0" applyFont="1" applyBorder="1" applyAlignment="1" applyProtection="1">
      <alignment vertical="center" wrapText="1"/>
      <protection locked="0"/>
    </xf>
    <xf numFmtId="49" fontId="30" fillId="0" borderId="1" xfId="6" applyNumberFormat="1" applyFont="1" applyFill="1" applyBorder="1" applyAlignment="1" applyProtection="1">
      <alignment horizontal="left" vertical="center" wrapText="1"/>
      <protection locked="0"/>
    </xf>
    <xf numFmtId="0" fontId="29" fillId="0" borderId="3" xfId="0" applyFont="1" applyBorder="1" applyAlignment="1" applyProtection="1">
      <alignment vertical="center" wrapText="1"/>
      <protection locked="0"/>
    </xf>
    <xf numFmtId="49" fontId="30" fillId="0" borderId="3" xfId="6" applyNumberFormat="1" applyFont="1" applyFill="1" applyBorder="1" applyAlignment="1" applyProtection="1">
      <alignment horizontal="left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FEACF"/>
    </indexedColors>
    <mruColors>
      <color rgb="00C00000"/>
      <color rgb="00FFFFFF"/>
      <color rgb="0000B0F0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19</xdr:col>
      <xdr:colOff>471805</xdr:colOff>
      <xdr:row>45</xdr:row>
      <xdr:rowOff>105410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11755120" cy="96970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ixeiracbt@sapo.pt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5"/>
  <sheetViews>
    <sheetView tabSelected="1" zoomScale="70" zoomScaleNormal="70" topLeftCell="A8" workbookViewId="0">
      <selection activeCell="B23" sqref="B23"/>
    </sheetView>
  </sheetViews>
  <sheetFormatPr defaultColWidth="9" defaultRowHeight="18" customHeight="1"/>
  <cols>
    <col min="1" max="1" width="43.0288461538462" style="23" customWidth="1"/>
    <col min="2" max="2" width="37.3173076923077" style="24" customWidth="1"/>
    <col min="3" max="3" width="31.0673076923077" style="23" customWidth="1"/>
    <col min="4" max="4" width="25.7211538461538" style="23" customWidth="1"/>
    <col min="5" max="5" width="14.0673076923077" style="23" customWidth="1"/>
    <col min="6" max="7" width="16.25" style="23" customWidth="1"/>
    <col min="8" max="9" width="14.6442307692308" style="23" customWidth="1"/>
    <col min="10" max="10" width="16.9615384615385" style="23" customWidth="1"/>
    <col min="11" max="11" width="19.0961538461538" style="25" customWidth="1"/>
    <col min="12" max="12" width="14.4711538461538" style="23" customWidth="1"/>
    <col min="13" max="13" width="14.2788461538462" style="23" customWidth="1"/>
    <col min="14" max="14" width="10.5288461538462" style="23" customWidth="1"/>
    <col min="15" max="15" width="9.375" style="23" customWidth="1"/>
    <col min="16" max="16" width="11.4326923076923" style="23" customWidth="1"/>
    <col min="17" max="17" width="9.375" style="23" customWidth="1"/>
    <col min="18" max="18" width="15.25" style="23" customWidth="1"/>
    <col min="19" max="20" width="14.125" style="23" customWidth="1"/>
    <col min="21" max="16384" width="9" style="23"/>
  </cols>
  <sheetData>
    <row r="1" s="20" customFormat="1" ht="40" customHeight="1" spans="1:20">
      <c r="A1" s="26" t="s">
        <v>0</v>
      </c>
      <c r="B1" s="27"/>
      <c r="C1" s="28" t="s">
        <v>1</v>
      </c>
      <c r="D1" s="29"/>
      <c r="E1" s="50" t="s">
        <v>2</v>
      </c>
      <c r="F1" s="51"/>
      <c r="G1" s="52"/>
      <c r="H1" s="52"/>
      <c r="I1" s="52"/>
      <c r="J1" s="52"/>
      <c r="K1" s="64"/>
      <c r="L1" s="52"/>
      <c r="M1" s="52"/>
      <c r="N1" s="67"/>
      <c r="O1" s="67"/>
      <c r="P1" s="67"/>
      <c r="Q1" s="67"/>
      <c r="R1" s="67"/>
      <c r="S1" s="67"/>
      <c r="T1" s="67"/>
    </row>
    <row r="2" s="20" customFormat="1" ht="40" customHeight="1" spans="1:20">
      <c r="A2" s="26" t="s">
        <v>3</v>
      </c>
      <c r="B2" s="30"/>
      <c r="C2" s="28" t="s">
        <v>4</v>
      </c>
      <c r="D2" s="31"/>
      <c r="E2" s="53" t="s">
        <v>5</v>
      </c>
      <c r="F2" s="53"/>
      <c r="G2" s="54" t="s">
        <v>6</v>
      </c>
      <c r="H2" s="54"/>
      <c r="I2" s="54"/>
      <c r="J2" s="54"/>
      <c r="K2" s="65"/>
      <c r="L2" s="54"/>
      <c r="M2" s="54"/>
      <c r="N2" s="54"/>
      <c r="O2" s="78"/>
      <c r="P2" s="78"/>
      <c r="Q2" s="78"/>
      <c r="R2" s="78"/>
      <c r="S2" s="78"/>
      <c r="T2" s="78"/>
    </row>
    <row r="3" s="20" customFormat="1" ht="50" customHeight="1" spans="1:11">
      <c r="A3" s="26" t="s">
        <v>7</v>
      </c>
      <c r="B3" s="32"/>
      <c r="C3" s="26" t="s">
        <v>8</v>
      </c>
      <c r="D3" s="33" t="str">
        <f>IF(OR(ISNUMBER(FIND("PVA",$B$4)),ISNUMBER(FIND("递延",$B$4)),ISNUMBER(FIND("VAT",$B$4)),ISNUMBER(FIND("不包税",$B$4)),ISNUMBER(FIND("不含税",$B$4)),ISNUMBER(FIND("VAT",$B$4))),"单票清关","包税")</f>
        <v>包税</v>
      </c>
      <c r="E3" s="53"/>
      <c r="F3" s="53"/>
      <c r="G3" s="55"/>
      <c r="H3" s="55"/>
      <c r="I3" s="55"/>
      <c r="J3" s="55"/>
      <c r="K3" s="66"/>
    </row>
    <row r="4" s="20" customFormat="1" ht="40" customHeight="1" spans="1:20">
      <c r="A4" s="26" t="s">
        <v>9</v>
      </c>
      <c r="B4" s="30"/>
      <c r="C4" s="26" t="s">
        <v>10</v>
      </c>
      <c r="D4" s="31"/>
      <c r="E4" s="53"/>
      <c r="F4" s="53"/>
      <c r="G4" s="55"/>
      <c r="H4" s="55"/>
      <c r="I4" s="55"/>
      <c r="J4" s="55"/>
      <c r="K4" s="66"/>
      <c r="L4" s="21"/>
      <c r="M4" s="21"/>
      <c r="N4" s="21"/>
      <c r="O4" s="21"/>
      <c r="P4" s="21"/>
      <c r="Q4" s="21"/>
      <c r="R4" s="21"/>
      <c r="S4" s="21"/>
      <c r="T4" s="21"/>
    </row>
    <row r="5" s="20" customFormat="1" ht="40" customHeight="1" spans="1:20">
      <c r="A5" s="26" t="s">
        <v>11</v>
      </c>
      <c r="B5" s="34"/>
      <c r="C5" s="26" t="s">
        <v>12</v>
      </c>
      <c r="D5" s="31"/>
      <c r="E5" s="53"/>
      <c r="F5" s="53"/>
      <c r="G5" s="55"/>
      <c r="H5" s="55"/>
      <c r="I5" s="55"/>
      <c r="J5" s="55"/>
      <c r="K5" s="66"/>
      <c r="L5" s="21"/>
      <c r="M5" s="21"/>
      <c r="N5" s="21"/>
      <c r="O5" s="21"/>
      <c r="P5" s="21"/>
      <c r="Q5" s="21"/>
      <c r="R5" s="21"/>
      <c r="S5" s="21"/>
      <c r="T5" s="21"/>
    </row>
    <row r="6" s="20" customFormat="1" ht="40" customHeight="1" spans="1:20">
      <c r="A6" s="35" t="s">
        <v>13</v>
      </c>
      <c r="B6" s="30"/>
      <c r="C6" s="26" t="s">
        <v>14</v>
      </c>
      <c r="D6" s="36"/>
      <c r="E6" s="53"/>
      <c r="F6" s="53"/>
      <c r="G6" s="55"/>
      <c r="H6" s="55"/>
      <c r="I6" s="55"/>
      <c r="J6" s="55"/>
      <c r="K6" s="66"/>
      <c r="L6" s="67"/>
      <c r="M6" s="67"/>
      <c r="N6" s="67"/>
      <c r="O6" s="67"/>
      <c r="P6" s="67"/>
      <c r="Q6" s="67"/>
      <c r="R6" s="67"/>
      <c r="S6" s="67"/>
      <c r="T6" s="67"/>
    </row>
    <row r="7" s="20" customFormat="1" ht="40" customHeight="1" spans="1:20">
      <c r="A7" s="26" t="s">
        <v>15</v>
      </c>
      <c r="B7" s="31"/>
      <c r="C7" s="26" t="s">
        <v>16</v>
      </c>
      <c r="D7" s="36"/>
      <c r="E7" s="53"/>
      <c r="F7" s="53"/>
      <c r="G7" s="55"/>
      <c r="H7" s="55"/>
      <c r="I7" s="55"/>
      <c r="J7" s="55"/>
      <c r="K7" s="66"/>
      <c r="L7" s="56"/>
      <c r="M7" s="56"/>
      <c r="N7" s="56"/>
      <c r="O7" s="56"/>
      <c r="P7" s="56"/>
      <c r="Q7" s="56"/>
      <c r="R7" s="56"/>
      <c r="S7" s="56"/>
      <c r="T7" s="56"/>
    </row>
    <row r="8" s="20" customFormat="1" ht="40" customHeight="1" spans="1:20">
      <c r="A8" s="26" t="s">
        <v>17</v>
      </c>
      <c r="B8" s="30"/>
      <c r="C8" s="26" t="s">
        <v>18</v>
      </c>
      <c r="D8" s="27"/>
      <c r="E8" s="53"/>
      <c r="F8" s="53"/>
      <c r="G8" s="55"/>
      <c r="H8" s="55"/>
      <c r="I8" s="55"/>
      <c r="J8" s="55"/>
      <c r="K8" s="66"/>
      <c r="L8" s="56"/>
      <c r="M8" s="56"/>
      <c r="O8" s="56"/>
      <c r="P8" s="56"/>
      <c r="Q8" s="56"/>
      <c r="R8" s="56"/>
      <c r="S8" s="56"/>
      <c r="T8" s="56"/>
    </row>
    <row r="9" s="20" customFormat="1" ht="40" customHeight="1" spans="1:20">
      <c r="A9" s="26" t="s">
        <v>19</v>
      </c>
      <c r="B9" s="36"/>
      <c r="C9" s="26" t="s">
        <v>20</v>
      </c>
      <c r="D9" s="27"/>
      <c r="E9" s="53"/>
      <c r="F9" s="53"/>
      <c r="G9" s="55"/>
      <c r="H9" s="55"/>
      <c r="I9" s="55"/>
      <c r="J9" s="55"/>
      <c r="K9" s="66"/>
      <c r="L9" s="56"/>
      <c r="M9" s="56"/>
      <c r="N9" s="56"/>
      <c r="O9" s="56"/>
      <c r="P9" s="56"/>
      <c r="Q9" s="56"/>
      <c r="R9" s="56"/>
      <c r="S9" s="56"/>
      <c r="T9" s="56"/>
    </row>
    <row r="10" s="20" customFormat="1" ht="40" customHeight="1" spans="1:20">
      <c r="A10" s="26" t="s">
        <v>21</v>
      </c>
      <c r="B10" s="36"/>
      <c r="C10" s="26"/>
      <c r="D10" s="30"/>
      <c r="E10" s="53"/>
      <c r="F10" s="53"/>
      <c r="G10" s="55"/>
      <c r="H10" s="55"/>
      <c r="I10" s="55"/>
      <c r="J10" s="55"/>
      <c r="K10" s="66"/>
      <c r="L10" s="56"/>
      <c r="M10" s="56"/>
      <c r="N10" s="56"/>
      <c r="O10" s="56"/>
      <c r="P10" s="56"/>
      <c r="Q10" s="56"/>
      <c r="R10" s="56"/>
      <c r="S10" s="56"/>
      <c r="T10" s="56"/>
    </row>
    <row r="11" s="20" customFormat="1" ht="40" customHeight="1" spans="1:20">
      <c r="A11" s="28" t="s">
        <v>22</v>
      </c>
      <c r="B11" s="37"/>
      <c r="C11" s="26"/>
      <c r="D11" s="27"/>
      <c r="E11" s="53"/>
      <c r="F11" s="53"/>
      <c r="G11" s="56"/>
      <c r="H11" s="56"/>
      <c r="J11" s="56"/>
      <c r="K11" s="68"/>
      <c r="L11" s="56"/>
      <c r="M11" s="56"/>
      <c r="N11" s="56"/>
      <c r="O11" s="56"/>
      <c r="P11" s="56"/>
      <c r="Q11" s="56"/>
      <c r="R11" s="56"/>
      <c r="S11" s="56"/>
      <c r="T11" s="56"/>
    </row>
    <row r="12" s="20" customFormat="1" ht="40" customHeight="1" spans="1:20">
      <c r="A12" s="26" t="s">
        <v>23</v>
      </c>
      <c r="B12" s="30"/>
      <c r="C12" s="28" t="s">
        <v>24</v>
      </c>
      <c r="D12" s="31"/>
      <c r="E12" s="57" t="s">
        <v>25</v>
      </c>
      <c r="F12" s="57"/>
      <c r="G12" s="56"/>
      <c r="H12" s="56"/>
      <c r="I12" s="56"/>
      <c r="J12" s="56"/>
      <c r="K12" s="68"/>
      <c r="L12" s="56"/>
      <c r="M12" s="56"/>
      <c r="O12" s="56"/>
      <c r="P12" s="56"/>
      <c r="Q12" s="56"/>
      <c r="R12" s="56"/>
      <c r="S12" s="56"/>
      <c r="T12" s="56"/>
    </row>
    <row r="13" s="20" customFormat="1" ht="40" customHeight="1" spans="1:20">
      <c r="A13" s="26" t="s">
        <v>26</v>
      </c>
      <c r="B13" s="30"/>
      <c r="C13" s="26" t="s">
        <v>27</v>
      </c>
      <c r="D13" s="38" t="s">
        <v>28</v>
      </c>
      <c r="E13" s="58" t="s">
        <v>29</v>
      </c>
      <c r="F13" s="59"/>
      <c r="G13" s="56"/>
      <c r="H13" s="56"/>
      <c r="I13" s="56"/>
      <c r="J13" s="56"/>
      <c r="K13" s="68"/>
      <c r="L13" s="56"/>
      <c r="M13" s="56"/>
      <c r="N13" s="56"/>
      <c r="O13" s="56"/>
      <c r="P13" s="56"/>
      <c r="Q13" s="56"/>
      <c r="R13" s="56"/>
      <c r="S13" s="56"/>
      <c r="T13" s="56"/>
    </row>
    <row r="14" s="20" customFormat="1" ht="40" customHeight="1" spans="1:20">
      <c r="A14" s="26" t="s">
        <v>30</v>
      </c>
      <c r="B14" s="30"/>
      <c r="C14" s="39"/>
      <c r="D14" s="31"/>
      <c r="F14" s="59"/>
      <c r="G14" s="56"/>
      <c r="H14" s="56"/>
      <c r="I14" s="56"/>
      <c r="J14" s="56"/>
      <c r="K14" s="69"/>
      <c r="L14" s="56"/>
      <c r="M14" s="56"/>
      <c r="N14" s="56"/>
      <c r="O14" s="56"/>
      <c r="P14" s="56"/>
      <c r="Q14" s="56"/>
      <c r="R14" s="56"/>
      <c r="S14" s="56"/>
      <c r="T14" s="56"/>
    </row>
    <row r="15" s="20" customFormat="1" ht="40" customHeight="1" spans="1:20">
      <c r="A15" s="26" t="s">
        <v>31</v>
      </c>
      <c r="B15" s="36"/>
      <c r="C15" s="40"/>
      <c r="D15" s="41"/>
      <c r="F15" s="59"/>
      <c r="G15" s="56"/>
      <c r="H15" s="56"/>
      <c r="I15" s="56"/>
      <c r="J15" s="56"/>
      <c r="K15" s="68"/>
      <c r="L15" s="56"/>
      <c r="M15" s="56"/>
      <c r="N15" s="56"/>
      <c r="O15" s="56"/>
      <c r="P15" s="56"/>
      <c r="Q15" s="56"/>
      <c r="R15" s="56"/>
      <c r="S15" s="56"/>
      <c r="T15" s="56"/>
    </row>
    <row r="16" s="20" customFormat="1" ht="40" customHeight="1" spans="1:20">
      <c r="A16" s="26" t="s">
        <v>32</v>
      </c>
      <c r="B16" s="42">
        <v>1</v>
      </c>
      <c r="C16" s="32"/>
      <c r="D16" s="31"/>
      <c r="E16" s="56"/>
      <c r="F16" s="56"/>
      <c r="G16" s="56"/>
      <c r="H16" s="56"/>
      <c r="I16" s="56"/>
      <c r="J16" s="56"/>
      <c r="K16" s="68"/>
      <c r="L16" s="56"/>
      <c r="M16" s="56"/>
      <c r="N16" s="56"/>
      <c r="O16" s="56"/>
      <c r="P16" s="56"/>
      <c r="Q16" s="56"/>
      <c r="R16" s="56"/>
      <c r="S16" s="82" t="s">
        <v>33</v>
      </c>
      <c r="T16" s="82" t="s">
        <v>33</v>
      </c>
    </row>
    <row r="17" s="21" customFormat="1" ht="164" customHeight="1" spans="1:24">
      <c r="A17" s="43" t="s">
        <v>34</v>
      </c>
      <c r="B17" s="43" t="s">
        <v>35</v>
      </c>
      <c r="C17" s="43" t="s">
        <v>36</v>
      </c>
      <c r="D17" s="43" t="s">
        <v>37</v>
      </c>
      <c r="E17" s="43" t="s">
        <v>38</v>
      </c>
      <c r="F17" s="43" t="s">
        <v>39</v>
      </c>
      <c r="G17" s="43" t="s">
        <v>40</v>
      </c>
      <c r="H17" s="43" t="s">
        <v>41</v>
      </c>
      <c r="I17" s="70" t="s">
        <v>42</v>
      </c>
      <c r="J17" s="71" t="s">
        <v>43</v>
      </c>
      <c r="K17" s="72" t="s">
        <v>44</v>
      </c>
      <c r="L17" s="73" t="s">
        <v>45</v>
      </c>
      <c r="M17" s="79" t="s">
        <v>46</v>
      </c>
      <c r="N17" s="80" t="s">
        <v>47</v>
      </c>
      <c r="O17" s="81" t="s">
        <v>48</v>
      </c>
      <c r="P17" s="81" t="s">
        <v>49</v>
      </c>
      <c r="Q17" s="81" t="s">
        <v>50</v>
      </c>
      <c r="R17" s="81" t="s">
        <v>51</v>
      </c>
      <c r="S17" s="81" t="s">
        <v>52</v>
      </c>
      <c r="T17" s="83" t="s">
        <v>53</v>
      </c>
      <c r="U17" s="83" t="s">
        <v>54</v>
      </c>
      <c r="V17" s="83" t="s">
        <v>55</v>
      </c>
      <c r="W17" s="83" t="s">
        <v>56</v>
      </c>
      <c r="X17" s="83" t="s">
        <v>57</v>
      </c>
    </row>
    <row r="18" customHeight="1" spans="1:24">
      <c r="A18" s="44"/>
      <c r="B18" s="45"/>
      <c r="C18" s="22"/>
      <c r="D18" s="46"/>
      <c r="E18" s="46"/>
      <c r="F18" s="60"/>
      <c r="G18" s="61"/>
      <c r="H18" s="46"/>
      <c r="I18" s="61"/>
      <c r="J18" s="61"/>
      <c r="K18" s="74" t="e">
        <f>VLOOKUP($B$6,'走货线路名和申报币别要求-不能删'!E:F,2,0)</f>
        <v>#N/A</v>
      </c>
      <c r="L18" s="75"/>
      <c r="M18" s="61"/>
      <c r="N18" s="61"/>
      <c r="O18" s="46"/>
      <c r="P18" s="46"/>
      <c r="Q18" s="84"/>
      <c r="R18" s="85"/>
      <c r="S18" s="61"/>
      <c r="T18" s="22"/>
      <c r="U18" s="22"/>
      <c r="V18" s="22"/>
      <c r="W18" s="22"/>
      <c r="X18" s="22"/>
    </row>
    <row r="19" customHeight="1" spans="1:24">
      <c r="A19" s="47"/>
      <c r="B19" s="48"/>
      <c r="C19" s="47"/>
      <c r="D19" s="49"/>
      <c r="E19" s="49"/>
      <c r="F19" s="62"/>
      <c r="G19" s="63"/>
      <c r="H19" s="49"/>
      <c r="I19" s="63"/>
      <c r="J19" s="63"/>
      <c r="K19" s="76" t="e">
        <f>VLOOKUP($B$6,'走货线路名和申报币别要求-不能删'!E:F,2,0)</f>
        <v>#N/A</v>
      </c>
      <c r="L19" s="77"/>
      <c r="M19" s="63"/>
      <c r="N19" s="63"/>
      <c r="O19" s="49"/>
      <c r="P19" s="49"/>
      <c r="Q19" s="86"/>
      <c r="R19" s="87"/>
      <c r="S19" s="63"/>
      <c r="T19" s="47"/>
      <c r="U19" s="47"/>
      <c r="V19" s="47"/>
      <c r="W19" s="47"/>
      <c r="X19" s="47"/>
    </row>
    <row r="20" s="22" customFormat="1" customHeight="1" spans="2:19">
      <c r="B20" s="45"/>
      <c r="C20" s="22"/>
      <c r="D20" s="46"/>
      <c r="E20" s="46"/>
      <c r="F20" s="60"/>
      <c r="G20" s="61"/>
      <c r="H20" s="46"/>
      <c r="I20" s="61"/>
      <c r="J20" s="61"/>
      <c r="K20" s="74" t="e">
        <f>VLOOKUP($B$6,'走货线路名和申报币别要求-不能删'!E:F,2,0)</f>
        <v>#N/A</v>
      </c>
      <c r="L20" s="75"/>
      <c r="M20" s="61"/>
      <c r="N20" s="61"/>
      <c r="O20" s="46"/>
      <c r="P20" s="46"/>
      <c r="Q20" s="84"/>
      <c r="R20" s="85"/>
      <c r="S20" s="61"/>
    </row>
    <row r="21" s="22" customFormat="1" customHeight="1" spans="2:11">
      <c r="B21" s="45"/>
      <c r="C21" s="22"/>
      <c r="D21" s="22"/>
      <c r="E21" s="22"/>
      <c r="F21" s="22"/>
      <c r="G21" s="22"/>
      <c r="H21" s="22"/>
      <c r="I21" s="22"/>
      <c r="J21" s="22"/>
      <c r="K21" s="74" t="e">
        <f>VLOOKUP($B$6,'走货线路名和申报币别要求-不能删'!E:F,2,0)</f>
        <v>#N/A</v>
      </c>
    </row>
    <row r="22" s="22" customFormat="1" customHeight="1" spans="2:11">
      <c r="B22" s="45"/>
      <c r="C22" s="22"/>
      <c r="D22" s="22"/>
      <c r="E22" s="22"/>
      <c r="F22" s="22"/>
      <c r="G22" s="22"/>
      <c r="H22" s="22"/>
      <c r="I22" s="22"/>
      <c r="J22" s="22"/>
      <c r="K22" s="74" t="e">
        <f>VLOOKUP($B$6,'走货线路名和申报币别要求-不能删'!E:F,2,0)</f>
        <v>#N/A</v>
      </c>
    </row>
    <row r="23" s="22" customFormat="1" customHeight="1" spans="2:11">
      <c r="B23" s="45"/>
      <c r="C23" s="22"/>
      <c r="D23" s="22"/>
      <c r="E23" s="22"/>
      <c r="F23" s="22"/>
      <c r="G23" s="22"/>
      <c r="H23" s="22"/>
      <c r="I23" s="22"/>
      <c r="J23" s="22"/>
      <c r="K23" s="74" t="e">
        <f>VLOOKUP($B$6,'走货线路名和申报币别要求-不能删'!E:F,2,0)</f>
        <v>#N/A</v>
      </c>
    </row>
    <row r="24" s="22" customFormat="1" customHeight="1" spans="2:11">
      <c r="B24" s="45"/>
      <c r="C24" s="22"/>
      <c r="D24" s="22"/>
      <c r="E24" s="22"/>
      <c r="F24" s="22"/>
      <c r="G24" s="22"/>
      <c r="H24" s="22"/>
      <c r="I24" s="22"/>
      <c r="J24" s="22"/>
      <c r="K24" s="74" t="e">
        <f>VLOOKUP($B$6,'走货线路名和申报币别要求-不能删'!E:F,2,0)</f>
        <v>#N/A</v>
      </c>
    </row>
    <row r="25" s="22" customFormat="1" customHeight="1" spans="2:11">
      <c r="B25" s="45"/>
      <c r="C25" s="22"/>
      <c r="D25" s="22"/>
      <c r="E25" s="22"/>
      <c r="F25" s="22"/>
      <c r="G25" s="22"/>
      <c r="H25" s="22"/>
      <c r="I25" s="22"/>
      <c r="J25" s="22"/>
      <c r="K25" s="74" t="e">
        <f>VLOOKUP($B$6,'走货线路名和申报币别要求-不能删'!E:F,2,0)</f>
        <v>#N/A</v>
      </c>
    </row>
    <row r="26" s="22" customFormat="1" customHeight="1" spans="2:11">
      <c r="B26" s="45"/>
      <c r="C26" s="22"/>
      <c r="D26" s="22"/>
      <c r="E26" s="22"/>
      <c r="F26" s="22"/>
      <c r="G26" s="22"/>
      <c r="H26" s="22"/>
      <c r="I26" s="22"/>
      <c r="J26" s="22"/>
      <c r="K26" s="74" t="e">
        <f>VLOOKUP($B$6,'走货线路名和申报币别要求-不能删'!E:F,2,0)</f>
        <v>#N/A</v>
      </c>
    </row>
    <row r="27" s="22" customFormat="1" customHeight="1" spans="2:11">
      <c r="B27" s="45"/>
      <c r="C27" s="22"/>
      <c r="D27" s="22"/>
      <c r="E27" s="22"/>
      <c r="F27" s="22"/>
      <c r="G27" s="22"/>
      <c r="H27" s="22"/>
      <c r="I27" s="22"/>
      <c r="J27" s="22"/>
      <c r="K27" s="74" t="e">
        <f>VLOOKUP($B$6,'走货线路名和申报币别要求-不能删'!E:F,2,0)</f>
        <v>#N/A</v>
      </c>
    </row>
    <row r="28" s="22" customFormat="1" customHeight="1" spans="2:11">
      <c r="B28" s="45"/>
      <c r="C28" s="22"/>
      <c r="D28" s="22"/>
      <c r="E28" s="22"/>
      <c r="F28" s="22"/>
      <c r="G28" s="22"/>
      <c r="H28" s="22"/>
      <c r="I28" s="22"/>
      <c r="J28" s="22"/>
      <c r="K28" s="74" t="e">
        <f>VLOOKUP($B$6,'走货线路名和申报币别要求-不能删'!E:F,2,0)</f>
        <v>#N/A</v>
      </c>
    </row>
    <row r="29" s="22" customFormat="1" customHeight="1" spans="2:11">
      <c r="B29" s="45"/>
      <c r="C29" s="22"/>
      <c r="D29" s="22"/>
      <c r="E29" s="22"/>
      <c r="F29" s="22"/>
      <c r="G29" s="22"/>
      <c r="H29" s="22"/>
      <c r="I29" s="22"/>
      <c r="J29" s="22"/>
      <c r="K29" s="74" t="e">
        <f>VLOOKUP($B$6,'走货线路名和申报币别要求-不能删'!E:F,2,0)</f>
        <v>#N/A</v>
      </c>
    </row>
    <row r="30" s="22" customFormat="1" customHeight="1" spans="2:11">
      <c r="B30" s="45"/>
      <c r="C30" s="22"/>
      <c r="D30" s="22"/>
      <c r="E30" s="22"/>
      <c r="F30" s="22"/>
      <c r="G30" s="22"/>
      <c r="H30" s="22"/>
      <c r="I30" s="22"/>
      <c r="J30" s="22"/>
      <c r="K30" s="74" t="e">
        <f>VLOOKUP($B$6,'走货线路名和申报币别要求-不能删'!E:F,2,0)</f>
        <v>#N/A</v>
      </c>
    </row>
    <row r="31" s="22" customFormat="1" customHeight="1" spans="2:11">
      <c r="B31" s="45"/>
      <c r="C31" s="22"/>
      <c r="D31" s="22"/>
      <c r="E31" s="22"/>
      <c r="F31" s="22"/>
      <c r="G31" s="22"/>
      <c r="H31" s="22"/>
      <c r="I31" s="22"/>
      <c r="J31" s="22"/>
      <c r="K31" s="74" t="e">
        <f>VLOOKUP($B$6,'走货线路名和申报币别要求-不能删'!E:F,2,0)</f>
        <v>#N/A</v>
      </c>
    </row>
    <row r="32" s="22" customFormat="1" customHeight="1" spans="2:11">
      <c r="B32" s="45"/>
      <c r="C32" s="22"/>
      <c r="D32" s="22"/>
      <c r="E32" s="22"/>
      <c r="F32" s="22"/>
      <c r="G32" s="22"/>
      <c r="H32" s="22"/>
      <c r="I32" s="22"/>
      <c r="J32" s="22"/>
      <c r="K32" s="74" t="e">
        <f>VLOOKUP($B$6,'走货线路名和申报币别要求-不能删'!E:F,2,0)</f>
        <v>#N/A</v>
      </c>
    </row>
    <row r="33" s="22" customFormat="1" customHeight="1" spans="2:11">
      <c r="B33" s="45"/>
      <c r="C33" s="22"/>
      <c r="D33" s="22"/>
      <c r="E33" s="22"/>
      <c r="F33" s="22"/>
      <c r="G33" s="22"/>
      <c r="H33" s="22"/>
      <c r="I33" s="22"/>
      <c r="J33" s="22"/>
      <c r="K33" s="74" t="e">
        <f>VLOOKUP($B$6,'走货线路名和申报币别要求-不能删'!E:F,2,0)</f>
        <v>#N/A</v>
      </c>
    </row>
    <row r="34" s="22" customFormat="1" customHeight="1" spans="2:11">
      <c r="B34" s="45"/>
      <c r="C34" s="22"/>
      <c r="D34" s="22"/>
      <c r="E34" s="22"/>
      <c r="F34" s="22"/>
      <c r="G34" s="22"/>
      <c r="H34" s="22"/>
      <c r="I34" s="22"/>
      <c r="J34" s="22"/>
      <c r="K34" s="74" t="e">
        <f>VLOOKUP($B$6,'走货线路名和申报币别要求-不能删'!E:F,2,0)</f>
        <v>#N/A</v>
      </c>
    </row>
    <row r="35" s="22" customFormat="1" customHeight="1" spans="2:11">
      <c r="B35" s="45"/>
      <c r="C35" s="22"/>
      <c r="D35" s="22"/>
      <c r="E35" s="22"/>
      <c r="F35" s="22"/>
      <c r="G35" s="22"/>
      <c r="H35" s="22"/>
      <c r="I35" s="22"/>
      <c r="J35" s="22"/>
      <c r="K35" s="74" t="e">
        <f>VLOOKUP($B$6,'走货线路名和申报币别要求-不能删'!E:F,2,0)</f>
        <v>#N/A</v>
      </c>
    </row>
    <row r="36" s="22" customFormat="1" customHeight="1" spans="2:11">
      <c r="B36" s="45"/>
      <c r="C36" s="22"/>
      <c r="D36" s="22"/>
      <c r="E36" s="22"/>
      <c r="F36" s="22"/>
      <c r="G36" s="22"/>
      <c r="H36" s="22"/>
      <c r="I36" s="22"/>
      <c r="J36" s="22"/>
      <c r="K36" s="74" t="e">
        <f>VLOOKUP($B$6,'走货线路名和申报币别要求-不能删'!E:F,2,0)</f>
        <v>#N/A</v>
      </c>
    </row>
    <row r="37" s="22" customFormat="1" customHeight="1" spans="2:11">
      <c r="B37" s="45"/>
      <c r="C37" s="22"/>
      <c r="D37" s="22"/>
      <c r="E37" s="22"/>
      <c r="F37" s="22"/>
      <c r="G37" s="22"/>
      <c r="H37" s="22"/>
      <c r="I37" s="22"/>
      <c r="J37" s="22"/>
      <c r="K37" s="74" t="e">
        <f>VLOOKUP($B$6,'走货线路名和申报币别要求-不能删'!E:F,2,0)</f>
        <v>#N/A</v>
      </c>
    </row>
    <row r="38" s="22" customFormat="1" customHeight="1" spans="2:11">
      <c r="B38" s="45"/>
      <c r="C38" s="22"/>
      <c r="D38" s="22"/>
      <c r="E38" s="22"/>
      <c r="F38" s="22"/>
      <c r="G38" s="22"/>
      <c r="H38" s="22"/>
      <c r="I38" s="22"/>
      <c r="J38" s="22"/>
      <c r="K38" s="74" t="e">
        <f>VLOOKUP($B$6,'走货线路名和申报币别要求-不能删'!E:F,2,0)</f>
        <v>#N/A</v>
      </c>
    </row>
    <row r="39" s="22" customFormat="1" customHeight="1" spans="2:11">
      <c r="B39" s="45"/>
      <c r="C39" s="22"/>
      <c r="D39" s="22"/>
      <c r="E39" s="22"/>
      <c r="F39" s="22"/>
      <c r="G39" s="22"/>
      <c r="H39" s="22"/>
      <c r="I39" s="22"/>
      <c r="J39" s="22"/>
      <c r="K39" s="74" t="e">
        <f>VLOOKUP($B$6,'走货线路名和申报币别要求-不能删'!E:F,2,0)</f>
        <v>#N/A</v>
      </c>
    </row>
    <row r="40" s="22" customFormat="1" customHeight="1" spans="2:11">
      <c r="B40" s="45"/>
      <c r="C40" s="22"/>
      <c r="D40" s="22"/>
      <c r="E40" s="22"/>
      <c r="F40" s="22"/>
      <c r="G40" s="22"/>
      <c r="H40" s="22"/>
      <c r="I40" s="22"/>
      <c r="J40" s="22"/>
      <c r="K40" s="74" t="e">
        <f>VLOOKUP($B$6,'走货线路名和申报币别要求-不能删'!E:F,2,0)</f>
        <v>#N/A</v>
      </c>
    </row>
    <row r="41" s="22" customFormat="1" customHeight="1" spans="2:11">
      <c r="B41" s="45"/>
      <c r="C41" s="22"/>
      <c r="D41" s="22"/>
      <c r="E41" s="22"/>
      <c r="F41" s="22"/>
      <c r="G41" s="22"/>
      <c r="H41" s="22"/>
      <c r="I41" s="22"/>
      <c r="J41" s="22"/>
      <c r="K41" s="74" t="e">
        <f>VLOOKUP($B$6,'走货线路名和申报币别要求-不能删'!E:F,2,0)</f>
        <v>#N/A</v>
      </c>
    </row>
    <row r="42" s="22" customFormat="1" customHeight="1" spans="2:11">
      <c r="B42" s="45"/>
      <c r="C42" s="22"/>
      <c r="D42" s="22"/>
      <c r="E42" s="22"/>
      <c r="F42" s="22"/>
      <c r="G42" s="22"/>
      <c r="H42" s="22"/>
      <c r="I42" s="22"/>
      <c r="J42" s="22"/>
      <c r="K42" s="74" t="e">
        <f>VLOOKUP($B$6,'走货线路名和申报币别要求-不能删'!E:F,2,0)</f>
        <v>#N/A</v>
      </c>
    </row>
    <row r="43" s="22" customFormat="1" customHeight="1" spans="2:11">
      <c r="B43" s="45"/>
      <c r="C43" s="22"/>
      <c r="D43" s="22"/>
      <c r="E43" s="22"/>
      <c r="F43" s="22"/>
      <c r="G43" s="22"/>
      <c r="H43" s="22"/>
      <c r="I43" s="22"/>
      <c r="J43" s="22"/>
      <c r="K43" s="74" t="e">
        <f>VLOOKUP($B$6,'走货线路名和申报币别要求-不能删'!E:F,2,0)</f>
        <v>#N/A</v>
      </c>
    </row>
    <row r="44" s="22" customFormat="1" customHeight="1" spans="2:11">
      <c r="B44" s="45"/>
      <c r="C44" s="22"/>
      <c r="D44" s="22"/>
      <c r="E44" s="22"/>
      <c r="F44" s="22"/>
      <c r="G44" s="22"/>
      <c r="H44" s="22"/>
      <c r="I44" s="22"/>
      <c r="J44" s="22"/>
      <c r="K44" s="74" t="e">
        <f>VLOOKUP($B$6,'走货线路名和申报币别要求-不能删'!E:F,2,0)</f>
        <v>#N/A</v>
      </c>
    </row>
    <row r="45" s="22" customFormat="1" customHeight="1" spans="2:11">
      <c r="B45" s="45"/>
      <c r="C45" s="22"/>
      <c r="D45" s="22"/>
      <c r="E45" s="22"/>
      <c r="F45" s="22"/>
      <c r="G45" s="22"/>
      <c r="H45" s="22"/>
      <c r="I45" s="22"/>
      <c r="J45" s="22"/>
      <c r="K45" s="74" t="e">
        <f>VLOOKUP($B$6,'走货线路名和申报币别要求-不能删'!E:F,2,0)</f>
        <v>#N/A</v>
      </c>
    </row>
  </sheetData>
  <sheetProtection formatCells="0" formatColumns="0" formatRows="0" insertRows="0" insertColumns="0" autoFilter="0"/>
  <mergeCells count="3">
    <mergeCell ref="G2:N2"/>
    <mergeCell ref="E12:F12"/>
    <mergeCell ref="E2:F11"/>
  </mergeCells>
  <dataValidations count="12">
    <dataValidation type="list" allowBlank="1" showInputMessage="1" sqref="H1 I2 F16 H4:H15 H17:H65330" errorStyle="information">
      <formula1>"普货,带木,带电,带电带磁,带磁,带液体,带膏体,带皮革,带干燥剂,带酒精棉"</formula1>
    </dataValidation>
    <dataValidation type="whole" operator="between" allowBlank="1" showInputMessage="1" showErrorMessage="1" sqref="I1 J2 G16 I4:I15 I18:I65336">
      <formula1>1</formula1>
      <formula2>9999999999999990</formula2>
    </dataValidation>
    <dataValidation type="whole" operator="between" allowBlank="1" showInputMessage="1" showErrorMessage="1" sqref="J1 K2 H16 J4:J15 J17:J65336">
      <formula1>1</formula1>
      <formula2>11111111</formula2>
    </dataValidation>
    <dataValidation type="list" allowBlank="1" showInputMessage="1" showErrorMessage="1" sqref="K1 L2 I16 K4:K15 K46:K65330">
      <formula1>"美金,英镑,欧元"</formula1>
    </dataValidation>
    <dataValidation type="decimal" operator="between" allowBlank="1" showInputMessage="1" showErrorMessage="1" error="只能填数字" sqref="L1 M2 J16 L4:L15 L17:L65336">
      <formula1>0.00001</formula1>
      <formula2>99999</formula2>
    </dataValidation>
    <dataValidation type="decimal" operator="between" allowBlank="1" showInputMessage="1" showErrorMessage="1" error="只能填写数字" sqref="M1 N2 K16 M4:M15 M17:M65336">
      <formula1>0</formula1>
      <formula2>2000</formula2>
    </dataValidation>
    <dataValidation type="list" allowBlank="1" showInputMessage="1" showErrorMessage="1" sqref="P1 Q2 N16 P4:P15 P18:P65330">
      <formula1>"无,境内自主品牌,境内收购品牌,境外品牌(贴牌生产),境外品牌(其他)"</formula1>
    </dataValidation>
    <dataValidation type="list" allowBlank="1" showInputMessage="1" showErrorMessage="1" sqref="B2">
      <formula1>"福永仓,石岩仓,广州仓,义乌仓"</formula1>
    </dataValidation>
    <dataValidation type="list" allowBlank="1" showInputMessage="1" showErrorMessage="1" sqref="D2">
      <formula1>"是,否"</formula1>
    </dataValidation>
    <dataValidation type="list" allowBlank="1" showInputMessage="1" showErrorMessage="1" sqref="B7">
      <formula1>"亚马逊地址,海外仓地址,商业地址,私人地址,监管仓地址"</formula1>
    </dataValidation>
    <dataValidation type="list" allowBlank="1" showInputMessage="1" showErrorMessage="1" sqref="F15 F12:F13">
      <formula1>$F$10:$F$12</formula1>
    </dataValidation>
    <dataValidation type="whole" operator="between" allowBlank="1" showInputMessage="1" showErrorMessage="1" error="只能填数字" sqref="B16">
      <formula1>1</formula1>
      <formula2>999999</formula2>
    </dataValidation>
  </dataValidations>
  <hyperlinks>
    <hyperlink ref="D13" r:id="rId3" display="必填"/>
  </hyperlink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1"/>
  <sheetViews>
    <sheetView workbookViewId="0">
      <selection activeCell="H2" sqref="H2:H4"/>
    </sheetView>
  </sheetViews>
  <sheetFormatPr defaultColWidth="9" defaultRowHeight="16.8"/>
  <cols>
    <col min="1" max="1" width="32.875" style="3" customWidth="1"/>
    <col min="2" max="2" width="9" style="4"/>
    <col min="3" max="3" width="14.875" style="5" customWidth="1"/>
    <col min="4" max="4" width="9" style="6"/>
    <col min="5" max="5" width="11.5" style="6" customWidth="1"/>
    <col min="6" max="11" width="9" style="6"/>
    <col min="12" max="12" width="32.875" style="3" customWidth="1"/>
    <col min="15" max="15" width="13" style="7" customWidth="1"/>
  </cols>
  <sheetData>
    <row r="1" ht="36" spans="1:15">
      <c r="A1" s="8" t="s">
        <v>58</v>
      </c>
      <c r="B1" s="8" t="s">
        <v>59</v>
      </c>
      <c r="C1" s="9" t="s">
        <v>24</v>
      </c>
      <c r="E1" s="6" t="s">
        <v>60</v>
      </c>
      <c r="F1" s="6" t="s">
        <v>61</v>
      </c>
      <c r="H1" s="6" t="s">
        <v>62</v>
      </c>
      <c r="L1" s="8" t="s">
        <v>58</v>
      </c>
      <c r="M1" t="s">
        <v>60</v>
      </c>
      <c r="O1" s="7" t="s">
        <v>63</v>
      </c>
    </row>
    <row r="2" spans="1:13">
      <c r="A2" s="10" t="s">
        <v>64</v>
      </c>
      <c r="B2" s="4" t="s">
        <v>65</v>
      </c>
      <c r="C2" s="4" t="s">
        <v>66</v>
      </c>
      <c r="E2" s="6" t="s">
        <v>67</v>
      </c>
      <c r="F2" s="6" t="s">
        <v>65</v>
      </c>
      <c r="H2" s="6" t="s">
        <v>68</v>
      </c>
      <c r="L2" s="10" t="s">
        <v>64</v>
      </c>
      <c r="M2" t="s">
        <v>69</v>
      </c>
    </row>
    <row r="3" spans="1:13">
      <c r="A3" s="11" t="s">
        <v>70</v>
      </c>
      <c r="B3" s="4" t="s">
        <v>65</v>
      </c>
      <c r="C3" s="4" t="s">
        <v>66</v>
      </c>
      <c r="E3" s="6" t="s">
        <v>71</v>
      </c>
      <c r="F3" s="6" t="s">
        <v>65</v>
      </c>
      <c r="H3" s="6" t="s">
        <v>72</v>
      </c>
      <c r="L3" s="11" t="s">
        <v>70</v>
      </c>
      <c r="M3" t="s">
        <v>69</v>
      </c>
    </row>
    <row r="4" spans="1:13">
      <c r="A4" s="11" t="s">
        <v>73</v>
      </c>
      <c r="B4" s="4" t="s">
        <v>65</v>
      </c>
      <c r="C4" s="5" t="s">
        <v>74</v>
      </c>
      <c r="E4" s="6" t="s">
        <v>75</v>
      </c>
      <c r="F4" s="6" t="s">
        <v>65</v>
      </c>
      <c r="H4" s="6" t="s">
        <v>76</v>
      </c>
      <c r="L4" s="11" t="s">
        <v>73</v>
      </c>
      <c r="M4" t="s">
        <v>69</v>
      </c>
    </row>
    <row r="5" spans="1:13">
      <c r="A5" s="12" t="s">
        <v>77</v>
      </c>
      <c r="B5" s="13" t="s">
        <v>78</v>
      </c>
      <c r="C5" s="5" t="s">
        <v>66</v>
      </c>
      <c r="E5" s="6" t="s">
        <v>79</v>
      </c>
      <c r="F5" s="6" t="s">
        <v>65</v>
      </c>
      <c r="H5" s="6" t="s">
        <v>80</v>
      </c>
      <c r="L5" s="17" t="s">
        <v>77</v>
      </c>
      <c r="M5" t="s">
        <v>69</v>
      </c>
    </row>
    <row r="6" spans="1:13">
      <c r="A6" s="12" t="s">
        <v>81</v>
      </c>
      <c r="B6" s="14"/>
      <c r="C6" s="5" t="s">
        <v>74</v>
      </c>
      <c r="E6" s="6" t="s">
        <v>82</v>
      </c>
      <c r="F6" s="6" t="s">
        <v>65</v>
      </c>
      <c r="H6" s="6" t="s">
        <v>83</v>
      </c>
      <c r="L6" s="17" t="s">
        <v>81</v>
      </c>
      <c r="M6" t="s">
        <v>69</v>
      </c>
    </row>
    <row r="7" spans="1:15">
      <c r="A7" s="3" t="s">
        <v>84</v>
      </c>
      <c r="B7" s="14"/>
      <c r="C7" s="5" t="s">
        <v>66</v>
      </c>
      <c r="E7" s="6" t="s">
        <v>85</v>
      </c>
      <c r="F7" s="6" t="s">
        <v>65</v>
      </c>
      <c r="H7" s="6" t="s">
        <v>86</v>
      </c>
      <c r="L7" s="3" t="s">
        <v>84</v>
      </c>
      <c r="M7" t="s">
        <v>69</v>
      </c>
      <c r="O7" s="18" t="s">
        <v>87</v>
      </c>
    </row>
    <row r="8" spans="1:15">
      <c r="A8" s="3" t="s">
        <v>88</v>
      </c>
      <c r="B8" s="14"/>
      <c r="C8" s="5" t="s">
        <v>74</v>
      </c>
      <c r="E8" s="6" t="s">
        <v>89</v>
      </c>
      <c r="F8" s="6" t="s">
        <v>65</v>
      </c>
      <c r="H8" s="6" t="s">
        <v>90</v>
      </c>
      <c r="L8" s="3" t="s">
        <v>88</v>
      </c>
      <c r="M8" t="s">
        <v>69</v>
      </c>
      <c r="O8" s="18" t="s">
        <v>85</v>
      </c>
    </row>
    <row r="9" spans="1:15">
      <c r="A9" s="3" t="s">
        <v>91</v>
      </c>
      <c r="B9" s="14"/>
      <c r="C9" s="5" t="s">
        <v>66</v>
      </c>
      <c r="E9" s="6" t="s">
        <v>92</v>
      </c>
      <c r="F9" s="6" t="s">
        <v>65</v>
      </c>
      <c r="H9" s="6" t="s">
        <v>93</v>
      </c>
      <c r="L9" s="3" t="s">
        <v>91</v>
      </c>
      <c r="M9" t="s">
        <v>69</v>
      </c>
      <c r="O9" s="18" t="s">
        <v>94</v>
      </c>
    </row>
    <row r="10" spans="1:15">
      <c r="A10" s="3" t="s">
        <v>95</v>
      </c>
      <c r="B10" s="14"/>
      <c r="C10" s="5" t="s">
        <v>66</v>
      </c>
      <c r="E10" s="6" t="s">
        <v>96</v>
      </c>
      <c r="F10" s="6" t="s">
        <v>65</v>
      </c>
      <c r="L10" s="3" t="s">
        <v>95</v>
      </c>
      <c r="M10" t="str">
        <f>LEFT(L10,2)</f>
        <v>德国</v>
      </c>
      <c r="O10" s="18" t="s">
        <v>97</v>
      </c>
    </row>
    <row r="11" spans="1:15">
      <c r="A11" s="3" t="s">
        <v>98</v>
      </c>
      <c r="B11" s="14"/>
      <c r="C11" s="5" t="s">
        <v>74</v>
      </c>
      <c r="E11" s="6" t="s">
        <v>99</v>
      </c>
      <c r="F11" s="6" t="s">
        <v>65</v>
      </c>
      <c r="L11" s="3" t="s">
        <v>98</v>
      </c>
      <c r="M11" t="str">
        <f>LEFT(L11,2)</f>
        <v>德国</v>
      </c>
      <c r="O11" s="18" t="s">
        <v>75</v>
      </c>
    </row>
    <row r="12" spans="1:15">
      <c r="A12" s="3" t="s">
        <v>100</v>
      </c>
      <c r="B12" s="14"/>
      <c r="C12" s="5" t="s">
        <v>66</v>
      </c>
      <c r="E12" s="6" t="s">
        <v>101</v>
      </c>
      <c r="F12" s="6" t="s">
        <v>65</v>
      </c>
      <c r="L12" s="3" t="s">
        <v>100</v>
      </c>
      <c r="M12" t="str">
        <f>LEFT(L12,2)</f>
        <v>德国</v>
      </c>
      <c r="O12" s="18" t="s">
        <v>102</v>
      </c>
    </row>
    <row r="13" spans="1:15">
      <c r="A13" s="3" t="s">
        <v>103</v>
      </c>
      <c r="B13" s="14"/>
      <c r="C13" s="5" t="s">
        <v>66</v>
      </c>
      <c r="E13" s="6" t="s">
        <v>104</v>
      </c>
      <c r="F13" s="6" t="s">
        <v>65</v>
      </c>
      <c r="L13" s="3" t="s">
        <v>103</v>
      </c>
      <c r="M13" t="s">
        <v>69</v>
      </c>
      <c r="O13" s="18" t="s">
        <v>104</v>
      </c>
    </row>
    <row r="14" spans="1:15">
      <c r="A14" s="3" t="s">
        <v>105</v>
      </c>
      <c r="B14" s="14"/>
      <c r="C14" s="5" t="s">
        <v>66</v>
      </c>
      <c r="E14" s="6" t="s">
        <v>106</v>
      </c>
      <c r="F14" s="6" t="s">
        <v>65</v>
      </c>
      <c r="L14" s="3" t="s">
        <v>105</v>
      </c>
      <c r="M14" t="s">
        <v>69</v>
      </c>
      <c r="O14" s="18" t="s">
        <v>107</v>
      </c>
    </row>
    <row r="15" spans="1:15">
      <c r="A15" s="3" t="s">
        <v>108</v>
      </c>
      <c r="B15" s="14"/>
      <c r="C15" s="5" t="s">
        <v>109</v>
      </c>
      <c r="E15" s="6" t="s">
        <v>87</v>
      </c>
      <c r="F15" s="6" t="s">
        <v>65</v>
      </c>
      <c r="L15" s="3" t="s">
        <v>108</v>
      </c>
      <c r="M15" t="s">
        <v>69</v>
      </c>
      <c r="O15" s="18" t="s">
        <v>89</v>
      </c>
    </row>
    <row r="16" spans="1:15">
      <c r="A16" s="15" t="s">
        <v>110</v>
      </c>
      <c r="B16" s="14"/>
      <c r="C16" s="5" t="s">
        <v>66</v>
      </c>
      <c r="E16" s="6" t="s">
        <v>102</v>
      </c>
      <c r="F16" s="6" t="s">
        <v>65</v>
      </c>
      <c r="L16" s="15" t="s">
        <v>110</v>
      </c>
      <c r="M16" t="str">
        <f>LEFT(L16,2)</f>
        <v>欧洲</v>
      </c>
      <c r="O16" s="18" t="s">
        <v>67</v>
      </c>
    </row>
    <row r="17" spans="1:15">
      <c r="A17" s="3" t="s">
        <v>111</v>
      </c>
      <c r="B17" s="14"/>
      <c r="C17" s="5" t="s">
        <v>66</v>
      </c>
      <c r="E17" s="6" t="s">
        <v>97</v>
      </c>
      <c r="F17" s="6" t="s">
        <v>65</v>
      </c>
      <c r="L17" s="3" t="s">
        <v>111</v>
      </c>
      <c r="M17" t="str">
        <f>LEFT(L17,2)</f>
        <v>欧洲</v>
      </c>
      <c r="O17" s="18" t="s">
        <v>112</v>
      </c>
    </row>
    <row r="18" spans="1:15">
      <c r="A18" s="3" t="s">
        <v>113</v>
      </c>
      <c r="B18" s="14"/>
      <c r="C18" s="5" t="s">
        <v>66</v>
      </c>
      <c r="E18" s="6" t="s">
        <v>114</v>
      </c>
      <c r="F18" s="6" t="s">
        <v>65</v>
      </c>
      <c r="L18" s="3" t="s">
        <v>113</v>
      </c>
      <c r="M18" t="s">
        <v>69</v>
      </c>
      <c r="O18" s="18" t="s">
        <v>115</v>
      </c>
    </row>
    <row r="19" spans="1:15">
      <c r="A19" s="3" t="s">
        <v>116</v>
      </c>
      <c r="B19" s="14"/>
      <c r="C19" s="5" t="s">
        <v>109</v>
      </c>
      <c r="E19" s="6" t="s">
        <v>115</v>
      </c>
      <c r="F19" s="6" t="s">
        <v>65</v>
      </c>
      <c r="L19" s="3" t="s">
        <v>116</v>
      </c>
      <c r="M19" t="s">
        <v>69</v>
      </c>
      <c r="O19" s="18" t="s">
        <v>117</v>
      </c>
    </row>
    <row r="20" spans="1:15">
      <c r="A20" s="3" t="s">
        <v>118</v>
      </c>
      <c r="B20" s="14"/>
      <c r="C20" s="5" t="s">
        <v>66</v>
      </c>
      <c r="E20" s="6" t="s">
        <v>119</v>
      </c>
      <c r="F20" s="6" t="s">
        <v>65</v>
      </c>
      <c r="L20" s="3" t="s">
        <v>118</v>
      </c>
      <c r="M20" t="s">
        <v>69</v>
      </c>
      <c r="O20" s="18" t="s">
        <v>120</v>
      </c>
    </row>
    <row r="21" spans="1:15">
      <c r="A21" s="3" t="s">
        <v>121</v>
      </c>
      <c r="B21" s="14"/>
      <c r="C21" s="5" t="s">
        <v>109</v>
      </c>
      <c r="E21" s="6" t="s">
        <v>94</v>
      </c>
      <c r="F21" s="6" t="s">
        <v>65</v>
      </c>
      <c r="L21" s="3" t="s">
        <v>121</v>
      </c>
      <c r="M21" t="s">
        <v>69</v>
      </c>
      <c r="O21" s="18" t="s">
        <v>96</v>
      </c>
    </row>
    <row r="22" spans="1:15">
      <c r="A22" s="15" t="s">
        <v>122</v>
      </c>
      <c r="B22" s="14"/>
      <c r="E22" s="6" t="s">
        <v>120</v>
      </c>
      <c r="F22" s="6" t="s">
        <v>65</v>
      </c>
      <c r="L22" s="15" t="s">
        <v>122</v>
      </c>
      <c r="M22" t="s">
        <v>69</v>
      </c>
      <c r="O22" s="18" t="s">
        <v>123</v>
      </c>
    </row>
    <row r="23" spans="1:15">
      <c r="A23" s="3" t="s">
        <v>124</v>
      </c>
      <c r="B23" s="14"/>
      <c r="C23" s="5" t="s">
        <v>66</v>
      </c>
      <c r="E23" s="6" t="s">
        <v>107</v>
      </c>
      <c r="F23" s="6" t="s">
        <v>65</v>
      </c>
      <c r="L23" s="3" t="s">
        <v>124</v>
      </c>
      <c r="M23" t="s">
        <v>69</v>
      </c>
      <c r="O23" s="18" t="s">
        <v>106</v>
      </c>
    </row>
    <row r="24" spans="1:15">
      <c r="A24" s="3" t="s">
        <v>125</v>
      </c>
      <c r="B24" s="14"/>
      <c r="C24" s="5" t="s">
        <v>66</v>
      </c>
      <c r="E24" s="6" t="s">
        <v>112</v>
      </c>
      <c r="F24" s="6" t="s">
        <v>65</v>
      </c>
      <c r="L24" s="3" t="s">
        <v>125</v>
      </c>
      <c r="M24" t="s">
        <v>69</v>
      </c>
      <c r="O24" s="18" t="s">
        <v>82</v>
      </c>
    </row>
    <row r="25" spans="1:15">
      <c r="A25" s="3" t="s">
        <v>126</v>
      </c>
      <c r="B25" s="14"/>
      <c r="C25" s="5" t="s">
        <v>109</v>
      </c>
      <c r="E25" s="6" t="s">
        <v>127</v>
      </c>
      <c r="F25" s="6" t="s">
        <v>65</v>
      </c>
      <c r="L25" s="3" t="s">
        <v>126</v>
      </c>
      <c r="M25" t="s">
        <v>69</v>
      </c>
      <c r="O25" s="18" t="s">
        <v>128</v>
      </c>
    </row>
    <row r="26" spans="1:15">
      <c r="A26" s="3" t="s">
        <v>129</v>
      </c>
      <c r="B26" s="14"/>
      <c r="C26" s="5" t="s">
        <v>109</v>
      </c>
      <c r="E26" s="6" t="s">
        <v>123</v>
      </c>
      <c r="F26" s="6" t="s">
        <v>65</v>
      </c>
      <c r="L26" s="3" t="s">
        <v>129</v>
      </c>
      <c r="M26" t="str">
        <f>LEFT(L26,2)</f>
        <v>欧洲</v>
      </c>
      <c r="O26" s="18" t="s">
        <v>71</v>
      </c>
    </row>
    <row r="27" spans="1:15">
      <c r="A27" s="3" t="s">
        <v>130</v>
      </c>
      <c r="B27" s="14"/>
      <c r="C27" s="5" t="s">
        <v>66</v>
      </c>
      <c r="E27" s="6" t="s">
        <v>131</v>
      </c>
      <c r="F27" s="6" t="s">
        <v>132</v>
      </c>
      <c r="L27" s="3" t="s">
        <v>130</v>
      </c>
      <c r="M27" t="str">
        <f>LEFT(L27,2)</f>
        <v>欧洲</v>
      </c>
      <c r="O27" s="18" t="s">
        <v>133</v>
      </c>
    </row>
    <row r="28" spans="1:15">
      <c r="A28" s="3" t="s">
        <v>134</v>
      </c>
      <c r="B28" s="14"/>
      <c r="C28" s="5" t="s">
        <v>109</v>
      </c>
      <c r="E28" s="6" t="s">
        <v>135</v>
      </c>
      <c r="F28" s="6" t="s">
        <v>136</v>
      </c>
      <c r="L28" s="3" t="s">
        <v>134</v>
      </c>
      <c r="M28" t="str">
        <f>LEFT(L28,2)</f>
        <v>欧洲</v>
      </c>
      <c r="O28" s="18" t="s">
        <v>79</v>
      </c>
    </row>
    <row r="29" spans="1:15">
      <c r="A29" s="3" t="s">
        <v>137</v>
      </c>
      <c r="B29" s="14"/>
      <c r="C29" s="5" t="s">
        <v>74</v>
      </c>
      <c r="E29" s="6" t="s">
        <v>138</v>
      </c>
      <c r="F29" s="6" t="s">
        <v>136</v>
      </c>
      <c r="L29" s="3" t="s">
        <v>137</v>
      </c>
      <c r="M29" t="s">
        <v>69</v>
      </c>
      <c r="O29" s="18" t="s">
        <v>99</v>
      </c>
    </row>
    <row r="30" spans="1:15">
      <c r="A30" s="3" t="s">
        <v>139</v>
      </c>
      <c r="B30" s="14"/>
      <c r="C30" s="5" t="s">
        <v>66</v>
      </c>
      <c r="E30" s="6" t="s">
        <v>140</v>
      </c>
      <c r="F30" s="6" t="s">
        <v>136</v>
      </c>
      <c r="L30" s="3" t="s">
        <v>139</v>
      </c>
      <c r="M30" t="s">
        <v>69</v>
      </c>
      <c r="O30" s="18" t="s">
        <v>119</v>
      </c>
    </row>
    <row r="31" spans="1:15">
      <c r="A31" s="3" t="s">
        <v>141</v>
      </c>
      <c r="B31" s="14"/>
      <c r="C31" s="5" t="s">
        <v>74</v>
      </c>
      <c r="E31" s="6" t="s">
        <v>142</v>
      </c>
      <c r="F31" s="6" t="s">
        <v>136</v>
      </c>
      <c r="L31" s="3" t="s">
        <v>141</v>
      </c>
      <c r="M31" t="s">
        <v>69</v>
      </c>
      <c r="O31" s="18" t="s">
        <v>114</v>
      </c>
    </row>
    <row r="32" spans="1:15">
      <c r="A32" s="3" t="s">
        <v>143</v>
      </c>
      <c r="B32" s="14"/>
      <c r="C32" s="5" t="s">
        <v>66</v>
      </c>
      <c r="E32" s="6" t="s">
        <v>144</v>
      </c>
      <c r="F32" s="6" t="s">
        <v>136</v>
      </c>
      <c r="L32" s="3" t="s">
        <v>143</v>
      </c>
      <c r="M32" t="s">
        <v>69</v>
      </c>
      <c r="O32" s="18" t="s">
        <v>127</v>
      </c>
    </row>
    <row r="33" spans="1:15">
      <c r="A33" s="3" t="s">
        <v>145</v>
      </c>
      <c r="B33" s="14"/>
      <c r="C33" s="5" t="s">
        <v>66</v>
      </c>
      <c r="E33" s="6" t="s">
        <v>146</v>
      </c>
      <c r="F33" s="6" t="s">
        <v>136</v>
      </c>
      <c r="L33" s="3" t="s">
        <v>145</v>
      </c>
      <c r="M33" t="s">
        <v>69</v>
      </c>
      <c r="O33" s="18" t="s">
        <v>92</v>
      </c>
    </row>
    <row r="34" spans="1:15">
      <c r="A34" s="3" t="s">
        <v>147</v>
      </c>
      <c r="B34" s="14"/>
      <c r="C34" s="5" t="s">
        <v>74</v>
      </c>
      <c r="E34" s="6" t="s">
        <v>148</v>
      </c>
      <c r="F34" s="6" t="s">
        <v>136</v>
      </c>
      <c r="L34" s="3" t="s">
        <v>147</v>
      </c>
      <c r="M34" t="s">
        <v>69</v>
      </c>
      <c r="O34" s="18" t="s">
        <v>101</v>
      </c>
    </row>
    <row r="35" spans="1:13">
      <c r="A35" s="3" t="s">
        <v>149</v>
      </c>
      <c r="B35" s="14"/>
      <c r="C35" s="5" t="s">
        <v>66</v>
      </c>
      <c r="E35" s="6" t="s">
        <v>150</v>
      </c>
      <c r="F35" s="6" t="s">
        <v>136</v>
      </c>
      <c r="L35" s="3" t="s">
        <v>149</v>
      </c>
      <c r="M35" t="str">
        <f t="shared" ref="M35:M66" si="0">LEFT(L35,2)</f>
        <v>德国</v>
      </c>
    </row>
    <row r="36" spans="1:13">
      <c r="A36" s="3" t="s">
        <v>151</v>
      </c>
      <c r="B36" s="16"/>
      <c r="C36" s="5" t="s">
        <v>66</v>
      </c>
      <c r="E36" s="6" t="s">
        <v>152</v>
      </c>
      <c r="F36" s="6" t="s">
        <v>136</v>
      </c>
      <c r="L36" s="3" t="s">
        <v>151</v>
      </c>
      <c r="M36" t="s">
        <v>69</v>
      </c>
    </row>
    <row r="37" spans="1:13">
      <c r="A37" s="3" t="s">
        <v>153</v>
      </c>
      <c r="B37" s="13" t="s">
        <v>154</v>
      </c>
      <c r="C37" s="5" t="s">
        <v>66</v>
      </c>
      <c r="E37" s="6" t="s">
        <v>155</v>
      </c>
      <c r="F37" s="6" t="s">
        <v>136</v>
      </c>
      <c r="L37" s="3" t="s">
        <v>153</v>
      </c>
      <c r="M37" t="str">
        <f t="shared" si="0"/>
        <v>英国</v>
      </c>
    </row>
    <row r="38" spans="1:13">
      <c r="A38" s="3" t="s">
        <v>156</v>
      </c>
      <c r="B38" s="14"/>
      <c r="C38" s="5" t="s">
        <v>109</v>
      </c>
      <c r="E38" s="6" t="s">
        <v>157</v>
      </c>
      <c r="F38" s="6" t="s">
        <v>136</v>
      </c>
      <c r="L38" s="3" t="s">
        <v>156</v>
      </c>
      <c r="M38" t="str">
        <f t="shared" si="0"/>
        <v>英国</v>
      </c>
    </row>
    <row r="39" spans="1:13">
      <c r="A39" s="3" t="s">
        <v>158</v>
      </c>
      <c r="B39" s="14"/>
      <c r="C39" s="5" t="s">
        <v>66</v>
      </c>
      <c r="L39" s="3" t="s">
        <v>158</v>
      </c>
      <c r="M39" t="str">
        <f t="shared" si="0"/>
        <v>英国</v>
      </c>
    </row>
    <row r="40" spans="1:15">
      <c r="A40" s="3" t="s">
        <v>159</v>
      </c>
      <c r="B40" s="14"/>
      <c r="C40" s="5" t="s">
        <v>109</v>
      </c>
      <c r="L40" s="3" t="s">
        <v>159</v>
      </c>
      <c r="M40" t="str">
        <f t="shared" si="0"/>
        <v>英国</v>
      </c>
      <c r="O40" s="19"/>
    </row>
    <row r="41" spans="1:15">
      <c r="A41" s="3" t="s">
        <v>160</v>
      </c>
      <c r="B41" s="14"/>
      <c r="C41" s="5" t="s">
        <v>74</v>
      </c>
      <c r="L41" s="3" t="s">
        <v>160</v>
      </c>
      <c r="M41" t="str">
        <f t="shared" si="0"/>
        <v>英国</v>
      </c>
      <c r="O41" s="19"/>
    </row>
    <row r="42" spans="1:15">
      <c r="A42" s="3" t="s">
        <v>161</v>
      </c>
      <c r="B42" s="14"/>
      <c r="C42" s="5" t="s">
        <v>66</v>
      </c>
      <c r="L42" s="3" t="s">
        <v>161</v>
      </c>
      <c r="M42" t="str">
        <f t="shared" si="0"/>
        <v>英国</v>
      </c>
      <c r="O42" s="19"/>
    </row>
    <row r="43" spans="1:15">
      <c r="A43" s="3" t="s">
        <v>162</v>
      </c>
      <c r="B43" s="14"/>
      <c r="C43" s="5" t="s">
        <v>109</v>
      </c>
      <c r="L43" s="3" t="s">
        <v>162</v>
      </c>
      <c r="M43" t="str">
        <f t="shared" si="0"/>
        <v>英国</v>
      </c>
      <c r="O43" s="19"/>
    </row>
    <row r="44" ht="14" customHeight="1" spans="1:15">
      <c r="A44" s="3" t="s">
        <v>163</v>
      </c>
      <c r="B44" s="14"/>
      <c r="C44" s="5" t="s">
        <v>109</v>
      </c>
      <c r="L44" s="3" t="s">
        <v>163</v>
      </c>
      <c r="M44" t="str">
        <f t="shared" si="0"/>
        <v>英国</v>
      </c>
      <c r="O44" s="19"/>
    </row>
    <row r="45" ht="14" customHeight="1" spans="1:15">
      <c r="A45" s="3" t="s">
        <v>164</v>
      </c>
      <c r="B45" s="14"/>
      <c r="C45" s="5" t="s">
        <v>66</v>
      </c>
      <c r="L45" s="3" t="s">
        <v>164</v>
      </c>
      <c r="M45" t="str">
        <f t="shared" si="0"/>
        <v>英国</v>
      </c>
      <c r="O45" s="19"/>
    </row>
    <row r="46" spans="1:15">
      <c r="A46" s="3" t="s">
        <v>165</v>
      </c>
      <c r="B46" s="14"/>
      <c r="C46" s="5" t="s">
        <v>66</v>
      </c>
      <c r="L46" s="3" t="s">
        <v>165</v>
      </c>
      <c r="M46" t="str">
        <f t="shared" si="0"/>
        <v>英国</v>
      </c>
      <c r="O46" s="19"/>
    </row>
    <row r="47" spans="1:15">
      <c r="A47" s="3" t="s">
        <v>166</v>
      </c>
      <c r="B47" s="14"/>
      <c r="C47" s="5" t="s">
        <v>109</v>
      </c>
      <c r="L47" s="3" t="s">
        <v>166</v>
      </c>
      <c r="M47" t="str">
        <f t="shared" si="0"/>
        <v>英国</v>
      </c>
      <c r="O47" s="19"/>
    </row>
    <row r="48" spans="1:15">
      <c r="A48" s="3" t="s">
        <v>167</v>
      </c>
      <c r="B48" s="14"/>
      <c r="C48" s="5" t="s">
        <v>109</v>
      </c>
      <c r="L48" s="3" t="s">
        <v>167</v>
      </c>
      <c r="M48" t="str">
        <f t="shared" si="0"/>
        <v>英国</v>
      </c>
      <c r="O48" s="19"/>
    </row>
    <row r="49" spans="1:15">
      <c r="A49" s="3" t="s">
        <v>168</v>
      </c>
      <c r="B49" s="14"/>
      <c r="C49" s="5" t="s">
        <v>74</v>
      </c>
      <c r="L49" s="3" t="s">
        <v>168</v>
      </c>
      <c r="M49" t="str">
        <f t="shared" si="0"/>
        <v>英国</v>
      </c>
      <c r="O49" s="19"/>
    </row>
    <row r="50" spans="1:15">
      <c r="A50" s="3" t="s">
        <v>169</v>
      </c>
      <c r="B50" s="14"/>
      <c r="C50" s="5" t="s">
        <v>109</v>
      </c>
      <c r="L50" s="3" t="s">
        <v>169</v>
      </c>
      <c r="M50" t="str">
        <f t="shared" si="0"/>
        <v>英国</v>
      </c>
      <c r="O50" s="19"/>
    </row>
    <row r="51" spans="1:15">
      <c r="A51" s="3" t="s">
        <v>170</v>
      </c>
      <c r="B51" s="14"/>
      <c r="C51" s="5" t="s">
        <v>74</v>
      </c>
      <c r="L51" s="3" t="s">
        <v>170</v>
      </c>
      <c r="M51" t="str">
        <f t="shared" si="0"/>
        <v>英国</v>
      </c>
      <c r="O51" s="19"/>
    </row>
    <row r="52" spans="1:15">
      <c r="A52" s="3" t="s">
        <v>171</v>
      </c>
      <c r="B52" s="14"/>
      <c r="C52" s="5" t="s">
        <v>66</v>
      </c>
      <c r="L52" s="3" t="s">
        <v>171</v>
      </c>
      <c r="M52" t="str">
        <f t="shared" si="0"/>
        <v>英国</v>
      </c>
      <c r="O52" s="19"/>
    </row>
    <row r="53" spans="1:15">
      <c r="A53" s="3" t="s">
        <v>172</v>
      </c>
      <c r="B53" s="14"/>
      <c r="C53" s="5" t="s">
        <v>66</v>
      </c>
      <c r="L53" s="3" t="s">
        <v>172</v>
      </c>
      <c r="M53" t="str">
        <f t="shared" si="0"/>
        <v>英国</v>
      </c>
      <c r="O53" s="19"/>
    </row>
    <row r="54" spans="1:15">
      <c r="A54" s="3" t="s">
        <v>173</v>
      </c>
      <c r="B54" s="14"/>
      <c r="C54" s="5" t="s">
        <v>66</v>
      </c>
      <c r="L54" s="3" t="s">
        <v>173</v>
      </c>
      <c r="M54" t="str">
        <f t="shared" si="0"/>
        <v>英国</v>
      </c>
      <c r="O54" s="19"/>
    </row>
    <row r="55" customFormat="1" spans="1:15">
      <c r="A55" s="3" t="s">
        <v>174</v>
      </c>
      <c r="B55" s="6"/>
      <c r="C55" s="5" t="s">
        <v>66</v>
      </c>
      <c r="D55" s="6"/>
      <c r="E55" s="6"/>
      <c r="F55" s="6"/>
      <c r="G55" s="6"/>
      <c r="H55" s="6"/>
      <c r="I55" s="6"/>
      <c r="J55" s="6"/>
      <c r="K55" s="6"/>
      <c r="L55" s="3" t="s">
        <v>174</v>
      </c>
      <c r="M55" t="str">
        <f t="shared" si="0"/>
        <v>英国</v>
      </c>
      <c r="O55" s="19"/>
    </row>
    <row r="56" customFormat="1" spans="1:15">
      <c r="A56" s="3" t="s">
        <v>175</v>
      </c>
      <c r="B56" s="14"/>
      <c r="C56" s="5" t="s">
        <v>74</v>
      </c>
      <c r="D56" s="6"/>
      <c r="E56" s="6"/>
      <c r="F56" s="6"/>
      <c r="G56" s="6"/>
      <c r="H56" s="6"/>
      <c r="I56" s="6"/>
      <c r="J56" s="6"/>
      <c r="K56" s="6"/>
      <c r="L56" s="3" t="s">
        <v>175</v>
      </c>
      <c r="M56" t="str">
        <f t="shared" si="0"/>
        <v>英国</v>
      </c>
      <c r="O56" s="19"/>
    </row>
    <row r="57" customFormat="1" spans="1:15">
      <c r="A57" s="3" t="s">
        <v>176</v>
      </c>
      <c r="B57" s="16"/>
      <c r="C57" s="5" t="s">
        <v>109</v>
      </c>
      <c r="D57" s="6"/>
      <c r="E57" s="6"/>
      <c r="F57" s="6"/>
      <c r="G57" s="6"/>
      <c r="H57" s="6"/>
      <c r="I57" s="6"/>
      <c r="J57" s="6"/>
      <c r="K57" s="6"/>
      <c r="L57" s="3" t="s">
        <v>176</v>
      </c>
      <c r="M57" t="str">
        <f t="shared" si="0"/>
        <v>英国</v>
      </c>
      <c r="O57" s="19"/>
    </row>
    <row r="58" customFormat="1" spans="1:15">
      <c r="A58" s="3" t="s">
        <v>177</v>
      </c>
      <c r="B58" s="13" t="s">
        <v>178</v>
      </c>
      <c r="C58" s="4" t="s">
        <v>66</v>
      </c>
      <c r="D58" s="6"/>
      <c r="E58" s="6"/>
      <c r="F58" s="6"/>
      <c r="G58" s="6"/>
      <c r="H58" s="6"/>
      <c r="I58" s="6"/>
      <c r="J58" s="6"/>
      <c r="K58" s="6"/>
      <c r="L58" s="3" t="s">
        <v>177</v>
      </c>
      <c r="M58" t="s">
        <v>142</v>
      </c>
      <c r="O58" s="19"/>
    </row>
    <row r="59" customFormat="1" spans="1:15">
      <c r="A59" s="3" t="s">
        <v>179</v>
      </c>
      <c r="B59" s="14"/>
      <c r="C59" s="4" t="s">
        <v>66</v>
      </c>
      <c r="D59" s="6"/>
      <c r="E59" s="6"/>
      <c r="F59" s="6"/>
      <c r="G59" s="6"/>
      <c r="H59" s="6"/>
      <c r="I59" s="6"/>
      <c r="J59" s="6"/>
      <c r="K59" s="6"/>
      <c r="L59" s="3" t="s">
        <v>179</v>
      </c>
      <c r="M59" t="str">
        <f t="shared" si="0"/>
        <v>美国</v>
      </c>
      <c r="O59" s="19"/>
    </row>
    <row r="60" customFormat="1" spans="1:15">
      <c r="A60" s="3" t="s">
        <v>180</v>
      </c>
      <c r="B60" s="14"/>
      <c r="C60" s="4" t="s">
        <v>109</v>
      </c>
      <c r="D60" s="6"/>
      <c r="E60" s="6"/>
      <c r="F60" s="6"/>
      <c r="G60" s="6"/>
      <c r="H60" s="6"/>
      <c r="I60" s="6"/>
      <c r="J60" s="6"/>
      <c r="K60" s="6"/>
      <c r="L60" s="3" t="s">
        <v>180</v>
      </c>
      <c r="M60" t="str">
        <f t="shared" si="0"/>
        <v>日本</v>
      </c>
      <c r="O60" s="19"/>
    </row>
    <row r="61" customFormat="1" spans="1:15">
      <c r="A61" s="3" t="s">
        <v>181</v>
      </c>
      <c r="B61" s="14"/>
      <c r="C61" s="4" t="s">
        <v>109</v>
      </c>
      <c r="D61" s="1"/>
      <c r="E61" s="1"/>
      <c r="F61" s="1"/>
      <c r="G61" s="1"/>
      <c r="H61" s="1"/>
      <c r="I61" s="1"/>
      <c r="J61" s="1"/>
      <c r="K61" s="1"/>
      <c r="L61" s="3" t="s">
        <v>181</v>
      </c>
      <c r="M61" t="str">
        <f t="shared" si="0"/>
        <v>日本</v>
      </c>
      <c r="O61" s="19"/>
    </row>
    <row r="62" s="1" customFormat="1" spans="1:15">
      <c r="A62" s="3" t="s">
        <v>182</v>
      </c>
      <c r="B62" s="14"/>
      <c r="C62" s="4" t="s">
        <v>66</v>
      </c>
      <c r="L62" s="3" t="s">
        <v>182</v>
      </c>
      <c r="M62" t="s">
        <v>135</v>
      </c>
      <c r="N62"/>
      <c r="O62" s="19"/>
    </row>
    <row r="63" s="1" customFormat="1" spans="1:15">
      <c r="A63" s="3" t="s">
        <v>183</v>
      </c>
      <c r="B63" s="14"/>
      <c r="C63" s="4" t="s">
        <v>66</v>
      </c>
      <c r="L63" s="3" t="s">
        <v>183</v>
      </c>
      <c r="M63" t="s">
        <v>135</v>
      </c>
      <c r="O63" s="19"/>
    </row>
    <row r="64" s="1" customFormat="1" spans="1:15">
      <c r="A64" s="3" t="s">
        <v>184</v>
      </c>
      <c r="B64" s="14"/>
      <c r="C64" s="4" t="s">
        <v>66</v>
      </c>
      <c r="L64" s="3" t="s">
        <v>184</v>
      </c>
      <c r="M64" t="s">
        <v>135</v>
      </c>
      <c r="O64" s="19"/>
    </row>
    <row r="65" s="1" customFormat="1" spans="1:15">
      <c r="A65" s="3" t="s">
        <v>185</v>
      </c>
      <c r="B65" s="14"/>
      <c r="C65" s="4" t="s">
        <v>109</v>
      </c>
      <c r="L65" s="3" t="s">
        <v>185</v>
      </c>
      <c r="M65" t="s">
        <v>135</v>
      </c>
      <c r="O65" s="19"/>
    </row>
    <row r="66" s="1" customFormat="1" spans="1:15">
      <c r="A66" s="3" t="s">
        <v>186</v>
      </c>
      <c r="B66" s="14"/>
      <c r="C66" s="4" t="s">
        <v>66</v>
      </c>
      <c r="L66" s="3" t="s">
        <v>186</v>
      </c>
      <c r="M66" t="s">
        <v>135</v>
      </c>
      <c r="O66" s="19"/>
    </row>
    <row r="67" s="1" customFormat="1" spans="1:15">
      <c r="A67" s="3" t="s">
        <v>187</v>
      </c>
      <c r="B67" s="14"/>
      <c r="C67" s="4" t="s">
        <v>66</v>
      </c>
      <c r="L67" s="3" t="s">
        <v>187</v>
      </c>
      <c r="M67" t="s">
        <v>135</v>
      </c>
      <c r="O67" s="19"/>
    </row>
    <row r="68" s="1" customFormat="1" spans="1:15">
      <c r="A68" s="3" t="s">
        <v>188</v>
      </c>
      <c r="B68" s="14"/>
      <c r="C68" s="4" t="s">
        <v>109</v>
      </c>
      <c r="L68" s="3" t="s">
        <v>188</v>
      </c>
      <c r="M68" t="s">
        <v>135</v>
      </c>
      <c r="O68" s="19"/>
    </row>
    <row r="69" s="1" customFormat="1" spans="1:15">
      <c r="A69" s="3" t="s">
        <v>189</v>
      </c>
      <c r="B69" s="14"/>
      <c r="C69" s="4" t="s">
        <v>66</v>
      </c>
      <c r="L69" s="3" t="s">
        <v>189</v>
      </c>
      <c r="M69" t="str">
        <f>LEFT(L69,2)</f>
        <v>美国</v>
      </c>
      <c r="O69" s="7"/>
    </row>
    <row r="70" s="1" customFormat="1" spans="1:15">
      <c r="A70" s="3" t="s">
        <v>190</v>
      </c>
      <c r="B70" s="14"/>
      <c r="C70" s="4" t="s">
        <v>66</v>
      </c>
      <c r="L70" s="3" t="s">
        <v>190</v>
      </c>
      <c r="M70" t="s">
        <v>135</v>
      </c>
      <c r="O70" s="7"/>
    </row>
    <row r="71" s="1" customFormat="1" spans="1:15">
      <c r="A71" s="3" t="s">
        <v>191</v>
      </c>
      <c r="B71" s="14"/>
      <c r="C71" s="4" t="s">
        <v>66</v>
      </c>
      <c r="L71" s="3" t="s">
        <v>191</v>
      </c>
      <c r="M71" t="s">
        <v>135</v>
      </c>
      <c r="O71" s="7"/>
    </row>
    <row r="72" s="1" customFormat="1" spans="1:15">
      <c r="A72" s="3" t="s">
        <v>192</v>
      </c>
      <c r="B72" s="14"/>
      <c r="C72" s="4" t="s">
        <v>109</v>
      </c>
      <c r="L72" s="3" t="s">
        <v>192</v>
      </c>
      <c r="M72" t="s">
        <v>135</v>
      </c>
      <c r="O72" s="7"/>
    </row>
    <row r="73" s="1" customFormat="1" spans="1:15">
      <c r="A73" s="3" t="s">
        <v>193</v>
      </c>
      <c r="B73" s="14"/>
      <c r="C73" s="4" t="s">
        <v>66</v>
      </c>
      <c r="L73" s="3" t="s">
        <v>193</v>
      </c>
      <c r="M73" t="s">
        <v>138</v>
      </c>
      <c r="O73" s="7"/>
    </row>
    <row r="74" s="1" customFormat="1" spans="1:15">
      <c r="A74" s="3" t="s">
        <v>194</v>
      </c>
      <c r="B74" s="14"/>
      <c r="C74" s="4" t="s">
        <v>66</v>
      </c>
      <c r="L74" s="3" t="s">
        <v>194</v>
      </c>
      <c r="M74" t="s">
        <v>138</v>
      </c>
      <c r="O74" s="7"/>
    </row>
    <row r="75" s="1" customFormat="1" spans="1:15">
      <c r="A75" s="3" t="s">
        <v>195</v>
      </c>
      <c r="B75" s="14"/>
      <c r="C75" s="4" t="s">
        <v>66</v>
      </c>
      <c r="L75" s="3" t="s">
        <v>195</v>
      </c>
      <c r="M75" t="s">
        <v>138</v>
      </c>
      <c r="O75" s="7"/>
    </row>
    <row r="76" s="1" customFormat="1" spans="1:15">
      <c r="A76" s="3" t="s">
        <v>196</v>
      </c>
      <c r="B76" s="14"/>
      <c r="C76" s="4" t="s">
        <v>109</v>
      </c>
      <c r="L76" s="3" t="s">
        <v>196</v>
      </c>
      <c r="M76" t="s">
        <v>138</v>
      </c>
      <c r="O76" s="7"/>
    </row>
    <row r="77" s="1" customFormat="1" spans="1:15">
      <c r="A77" s="3" t="s">
        <v>197</v>
      </c>
      <c r="B77" s="14"/>
      <c r="C77" s="4" t="s">
        <v>66</v>
      </c>
      <c r="L77" s="3" t="s">
        <v>197</v>
      </c>
      <c r="M77" t="s">
        <v>198</v>
      </c>
      <c r="O77" s="7"/>
    </row>
    <row r="78" s="1" customFormat="1" spans="1:15">
      <c r="A78" s="3" t="s">
        <v>199</v>
      </c>
      <c r="B78" s="14"/>
      <c r="C78" s="4" t="s">
        <v>66</v>
      </c>
      <c r="L78" s="3" t="s">
        <v>199</v>
      </c>
      <c r="M78" t="s">
        <v>198</v>
      </c>
      <c r="O78" s="7"/>
    </row>
    <row r="79" s="1" customFormat="1" spans="1:15">
      <c r="A79" s="3" t="s">
        <v>200</v>
      </c>
      <c r="B79" s="14"/>
      <c r="C79" s="4" t="s">
        <v>109</v>
      </c>
      <c r="L79" s="3" t="s">
        <v>200</v>
      </c>
      <c r="M79" t="s">
        <v>198</v>
      </c>
      <c r="O79" s="7"/>
    </row>
    <row r="80" s="1" customFormat="1" spans="1:15">
      <c r="A80" s="3" t="s">
        <v>201</v>
      </c>
      <c r="B80" s="14"/>
      <c r="C80" s="4" t="s">
        <v>109</v>
      </c>
      <c r="L80" s="3" t="s">
        <v>201</v>
      </c>
      <c r="M80" t="s">
        <v>157</v>
      </c>
      <c r="O80" s="7"/>
    </row>
    <row r="81" s="1" customFormat="1" spans="1:15">
      <c r="A81" s="3" t="s">
        <v>202</v>
      </c>
      <c r="B81" s="14"/>
      <c r="C81" s="4" t="s">
        <v>66</v>
      </c>
      <c r="L81" s="3" t="s">
        <v>202</v>
      </c>
      <c r="M81" t="s">
        <v>146</v>
      </c>
      <c r="O81" s="7"/>
    </row>
    <row r="82" s="1" customFormat="1" spans="1:15">
      <c r="A82" s="3" t="s">
        <v>203</v>
      </c>
      <c r="B82" s="14"/>
      <c r="C82" s="4" t="s">
        <v>66</v>
      </c>
      <c r="L82" s="3" t="s">
        <v>203</v>
      </c>
      <c r="M82" t="str">
        <f>LEFT(L82,2)</f>
        <v>台湾</v>
      </c>
      <c r="O82" s="7"/>
    </row>
    <row r="83" s="1" customFormat="1" spans="1:15">
      <c r="A83" s="3" t="s">
        <v>204</v>
      </c>
      <c r="B83" s="14"/>
      <c r="C83" s="4" t="s">
        <v>66</v>
      </c>
      <c r="L83" s="3" t="s">
        <v>204</v>
      </c>
      <c r="M83" t="str">
        <f>LEFT(L83,2)</f>
        <v>泰国</v>
      </c>
      <c r="O83" s="7"/>
    </row>
    <row r="84" s="1" customFormat="1" spans="1:15">
      <c r="A84" s="3" t="s">
        <v>205</v>
      </c>
      <c r="B84" s="14"/>
      <c r="C84" s="4" t="s">
        <v>66</v>
      </c>
      <c r="L84" s="3" t="s">
        <v>205</v>
      </c>
      <c r="M84" t="str">
        <f>LEFT(L84,2)</f>
        <v>伊朗</v>
      </c>
      <c r="O84" s="7"/>
    </row>
    <row r="85" s="1" customFormat="1" spans="1:15">
      <c r="A85" s="3" t="s">
        <v>206</v>
      </c>
      <c r="B85" s="14"/>
      <c r="C85" s="4" t="s">
        <v>66</v>
      </c>
      <c r="L85" s="3" t="s">
        <v>206</v>
      </c>
      <c r="M85" t="str">
        <f>LEFT(L85,2)</f>
        <v>越南</v>
      </c>
      <c r="O85" s="7"/>
    </row>
    <row r="86" s="1" customFormat="1" spans="1:15">
      <c r="A86" s="3" t="s">
        <v>207</v>
      </c>
      <c r="B86" s="16"/>
      <c r="C86" s="4" t="s">
        <v>66</v>
      </c>
      <c r="L86" s="3" t="s">
        <v>207</v>
      </c>
      <c r="M86" t="s">
        <v>157</v>
      </c>
      <c r="O86" s="7"/>
    </row>
    <row r="87" s="1" customFormat="1" spans="1:15">
      <c r="A87" s="3" t="s">
        <v>208</v>
      </c>
      <c r="B87" s="13" t="s">
        <v>78</v>
      </c>
      <c r="C87" s="4" t="s">
        <v>66</v>
      </c>
      <c r="L87" s="3" t="s">
        <v>208</v>
      </c>
      <c r="M87" t="str">
        <f>LEFT(L87,2)</f>
        <v>欧洲</v>
      </c>
      <c r="O87" s="7"/>
    </row>
    <row r="88" s="1" customFormat="1" spans="1:15">
      <c r="A88" s="3" t="s">
        <v>209</v>
      </c>
      <c r="B88" s="14"/>
      <c r="C88" s="4" t="s">
        <v>66</v>
      </c>
      <c r="L88" s="3" t="s">
        <v>209</v>
      </c>
      <c r="M88" t="s">
        <v>69</v>
      </c>
      <c r="O88" s="7"/>
    </row>
    <row r="89" s="1" customFormat="1" spans="1:15">
      <c r="A89" s="3" t="s">
        <v>210</v>
      </c>
      <c r="B89" s="14"/>
      <c r="C89" s="4" t="s">
        <v>66</v>
      </c>
      <c r="D89" s="6"/>
      <c r="E89" s="6"/>
      <c r="F89" s="6"/>
      <c r="G89" s="6"/>
      <c r="H89" s="6"/>
      <c r="I89" s="6"/>
      <c r="J89" s="6"/>
      <c r="K89" s="6"/>
      <c r="L89" s="3" t="s">
        <v>210</v>
      </c>
      <c r="M89" t="s">
        <v>69</v>
      </c>
      <c r="O89" s="7"/>
    </row>
    <row r="90" spans="1:14">
      <c r="A90" s="3" t="s">
        <v>211</v>
      </c>
      <c r="B90" s="14"/>
      <c r="C90" s="4" t="s">
        <v>66</v>
      </c>
      <c r="L90" s="3" t="s">
        <v>211</v>
      </c>
      <c r="M90" t="s">
        <v>69</v>
      </c>
      <c r="N90" s="1"/>
    </row>
    <row r="91" spans="1:13">
      <c r="A91" s="3" t="s">
        <v>212</v>
      </c>
      <c r="B91" s="14"/>
      <c r="C91" s="4" t="s">
        <v>66</v>
      </c>
      <c r="L91" s="3" t="s">
        <v>212</v>
      </c>
      <c r="M91" t="s">
        <v>69</v>
      </c>
    </row>
    <row r="92" spans="1:13">
      <c r="A92" s="3" t="s">
        <v>213</v>
      </c>
      <c r="B92" s="14"/>
      <c r="C92" s="4" t="s">
        <v>66</v>
      </c>
      <c r="L92" s="3" t="s">
        <v>213</v>
      </c>
      <c r="M92" t="s">
        <v>69</v>
      </c>
    </row>
    <row r="93" spans="1:13">
      <c r="A93" s="3" t="s">
        <v>214</v>
      </c>
      <c r="B93" s="14"/>
      <c r="C93" s="5" t="s">
        <v>74</v>
      </c>
      <c r="L93" s="3" t="s">
        <v>214</v>
      </c>
      <c r="M93" t="s">
        <v>69</v>
      </c>
    </row>
    <row r="94" spans="1:13">
      <c r="A94" s="3" t="s">
        <v>215</v>
      </c>
      <c r="B94" s="14"/>
      <c r="C94" s="4" t="s">
        <v>66</v>
      </c>
      <c r="L94" s="3" t="s">
        <v>215</v>
      </c>
      <c r="M94" t="s">
        <v>69</v>
      </c>
    </row>
    <row r="95" spans="1:13">
      <c r="A95" s="3" t="s">
        <v>216</v>
      </c>
      <c r="B95" s="14"/>
      <c r="C95" s="4" t="s">
        <v>66</v>
      </c>
      <c r="L95" s="3" t="s">
        <v>216</v>
      </c>
      <c r="M95" t="s">
        <v>69</v>
      </c>
    </row>
    <row r="96" spans="1:13">
      <c r="A96" s="3" t="s">
        <v>217</v>
      </c>
      <c r="B96" s="14"/>
      <c r="C96" s="5" t="s">
        <v>74</v>
      </c>
      <c r="L96" s="3" t="s">
        <v>217</v>
      </c>
      <c r="M96" t="s">
        <v>69</v>
      </c>
    </row>
    <row r="97" spans="1:13">
      <c r="A97" s="3" t="s">
        <v>218</v>
      </c>
      <c r="B97" s="14"/>
      <c r="C97" s="5" t="s">
        <v>74</v>
      </c>
      <c r="L97" s="3" t="s">
        <v>218</v>
      </c>
      <c r="M97" t="s">
        <v>69</v>
      </c>
    </row>
    <row r="98" spans="1:13">
      <c r="A98" s="3" t="s">
        <v>219</v>
      </c>
      <c r="B98" s="16"/>
      <c r="C98" s="4" t="s">
        <v>66</v>
      </c>
      <c r="L98" s="3" t="s">
        <v>219</v>
      </c>
      <c r="M98" t="s">
        <v>69</v>
      </c>
    </row>
    <row r="99" spans="1:13">
      <c r="A99" s="3" t="s">
        <v>220</v>
      </c>
      <c r="C99" s="4" t="s">
        <v>66</v>
      </c>
      <c r="L99" s="3" t="s">
        <v>220</v>
      </c>
      <c r="M99" t="s">
        <v>69</v>
      </c>
    </row>
    <row r="100" spans="1:13">
      <c r="A100" s="3" t="s">
        <v>221</v>
      </c>
      <c r="C100" s="5" t="s">
        <v>74</v>
      </c>
      <c r="L100" s="3" t="s">
        <v>221</v>
      </c>
      <c r="M100" t="s">
        <v>69</v>
      </c>
    </row>
    <row r="101" spans="1:13">
      <c r="A101" s="3" t="s">
        <v>222</v>
      </c>
      <c r="B101" s="4" t="s">
        <v>132</v>
      </c>
      <c r="C101" s="4" t="s">
        <v>66</v>
      </c>
      <c r="L101" s="3" t="s">
        <v>222</v>
      </c>
      <c r="M101" t="s">
        <v>131</v>
      </c>
    </row>
    <row r="102" spans="1:13">
      <c r="A102" s="3" t="s">
        <v>223</v>
      </c>
      <c r="B102" s="4" t="s">
        <v>132</v>
      </c>
      <c r="C102" s="5" t="s">
        <v>74</v>
      </c>
      <c r="L102" s="3" t="s">
        <v>223</v>
      </c>
      <c r="M102" t="s">
        <v>131</v>
      </c>
    </row>
    <row r="103" spans="1:13">
      <c r="A103" s="3" t="s">
        <v>224</v>
      </c>
      <c r="B103" s="4" t="s">
        <v>132</v>
      </c>
      <c r="C103" s="5" t="s">
        <v>109</v>
      </c>
      <c r="L103" s="3" t="s">
        <v>224</v>
      </c>
      <c r="M103" t="s">
        <v>131</v>
      </c>
    </row>
    <row r="104" spans="1:14">
      <c r="A104" s="5" t="s">
        <v>225</v>
      </c>
      <c r="B104" s="13" t="s">
        <v>78</v>
      </c>
      <c r="C104" s="4" t="s">
        <v>66</v>
      </c>
      <c r="L104" s="5" t="s">
        <v>225</v>
      </c>
      <c r="M104" t="s">
        <v>69</v>
      </c>
      <c r="N104" s="4"/>
    </row>
    <row r="105" spans="1:14">
      <c r="A105" s="5" t="s">
        <v>226</v>
      </c>
      <c r="B105" s="14"/>
      <c r="C105" s="4" t="s">
        <v>66</v>
      </c>
      <c r="L105" s="5" t="s">
        <v>226</v>
      </c>
      <c r="M105" t="s">
        <v>69</v>
      </c>
      <c r="N105" s="4"/>
    </row>
    <row r="106" spans="1:14">
      <c r="A106" s="5" t="s">
        <v>227</v>
      </c>
      <c r="B106" s="14"/>
      <c r="C106" s="5" t="s">
        <v>74</v>
      </c>
      <c r="L106" s="5" t="s">
        <v>227</v>
      </c>
      <c r="M106" t="s">
        <v>69</v>
      </c>
      <c r="N106" s="5"/>
    </row>
    <row r="107" spans="1:14">
      <c r="A107" s="5" t="s">
        <v>228</v>
      </c>
      <c r="B107" s="14"/>
      <c r="C107" s="4" t="s">
        <v>66</v>
      </c>
      <c r="L107" s="5" t="s">
        <v>228</v>
      </c>
      <c r="M107" t="s">
        <v>69</v>
      </c>
      <c r="N107" s="4"/>
    </row>
    <row r="108" spans="1:14">
      <c r="A108" s="5" t="s">
        <v>229</v>
      </c>
      <c r="B108" s="14"/>
      <c r="C108" s="5" t="s">
        <v>74</v>
      </c>
      <c r="L108" s="5" t="s">
        <v>229</v>
      </c>
      <c r="M108" t="s">
        <v>69</v>
      </c>
      <c r="N108" s="5"/>
    </row>
    <row r="109" s="2" customFormat="1" spans="1:15">
      <c r="A109" s="5" t="s">
        <v>230</v>
      </c>
      <c r="B109" s="14"/>
      <c r="C109" s="4" t="s">
        <v>66</v>
      </c>
      <c r="D109" s="6"/>
      <c r="E109" s="6"/>
      <c r="F109" s="6"/>
      <c r="G109" s="6"/>
      <c r="H109" s="6"/>
      <c r="I109" s="6"/>
      <c r="J109" s="6"/>
      <c r="K109" s="6"/>
      <c r="L109" s="5" t="s">
        <v>230</v>
      </c>
      <c r="M109" t="s">
        <v>69</v>
      </c>
      <c r="N109" s="4"/>
      <c r="O109" s="7"/>
    </row>
    <row r="110" s="2" customFormat="1" spans="1:15">
      <c r="A110" s="3" t="s">
        <v>231</v>
      </c>
      <c r="B110" s="14"/>
      <c r="C110" s="5" t="s">
        <v>74</v>
      </c>
      <c r="D110" s="6"/>
      <c r="E110" s="6"/>
      <c r="F110" s="6"/>
      <c r="G110" s="6"/>
      <c r="H110" s="6"/>
      <c r="I110" s="6"/>
      <c r="J110" s="6"/>
      <c r="K110" s="6"/>
      <c r="L110" s="3" t="s">
        <v>231</v>
      </c>
      <c r="M110" s="2" t="s">
        <v>69</v>
      </c>
      <c r="O110" s="7"/>
    </row>
    <row r="111" s="2" customFormat="1" spans="1:15">
      <c r="A111" s="3" t="s">
        <v>232</v>
      </c>
      <c r="B111" s="14"/>
      <c r="C111" s="5" t="s">
        <v>74</v>
      </c>
      <c r="D111" s="6"/>
      <c r="E111" s="6"/>
      <c r="F111" s="6"/>
      <c r="G111" s="6"/>
      <c r="H111" s="6"/>
      <c r="I111" s="6"/>
      <c r="J111" s="6"/>
      <c r="K111" s="6"/>
      <c r="L111" s="3" t="s">
        <v>232</v>
      </c>
      <c r="M111" s="2" t="s">
        <v>69</v>
      </c>
      <c r="O111" s="7"/>
    </row>
    <row r="112" s="2" customFormat="1" spans="1:15">
      <c r="A112" s="3" t="s">
        <v>233</v>
      </c>
      <c r="B112" s="14"/>
      <c r="C112" s="4" t="s">
        <v>66</v>
      </c>
      <c r="D112" s="6"/>
      <c r="E112" s="6"/>
      <c r="F112" s="6"/>
      <c r="G112" s="6"/>
      <c r="H112" s="6"/>
      <c r="I112" s="6"/>
      <c r="J112" s="6"/>
      <c r="K112" s="6"/>
      <c r="L112" s="3" t="s">
        <v>233</v>
      </c>
      <c r="M112" s="2" t="s">
        <v>69</v>
      </c>
      <c r="O112" s="7"/>
    </row>
    <row r="113" s="2" customFormat="1" spans="1:15">
      <c r="A113" s="3" t="s">
        <v>234</v>
      </c>
      <c r="B113" s="4" t="s">
        <v>132</v>
      </c>
      <c r="C113" s="5" t="s">
        <v>109</v>
      </c>
      <c r="D113" s="6"/>
      <c r="E113" s="6"/>
      <c r="F113" s="6"/>
      <c r="G113" s="6"/>
      <c r="H113" s="6"/>
      <c r="I113" s="6"/>
      <c r="J113" s="6"/>
      <c r="K113" s="6"/>
      <c r="L113" s="3" t="s">
        <v>234</v>
      </c>
      <c r="M113" s="2" t="s">
        <v>131</v>
      </c>
      <c r="O113" s="7"/>
    </row>
    <row r="114" s="2" customFormat="1" spans="1:15">
      <c r="A114" s="3" t="s">
        <v>235</v>
      </c>
      <c r="B114" s="4" t="s">
        <v>132</v>
      </c>
      <c r="C114" s="4" t="s">
        <v>66</v>
      </c>
      <c r="D114" s="6"/>
      <c r="E114" s="6"/>
      <c r="F114" s="6"/>
      <c r="G114" s="6"/>
      <c r="H114" s="6"/>
      <c r="I114" s="6"/>
      <c r="J114" s="6"/>
      <c r="K114" s="6"/>
      <c r="L114" s="3" t="s">
        <v>235</v>
      </c>
      <c r="M114" s="2" t="s">
        <v>131</v>
      </c>
      <c r="O114" s="7"/>
    </row>
    <row r="115" spans="1:14">
      <c r="A115" s="3" t="s">
        <v>236</v>
      </c>
      <c r="B115" s="4" t="s">
        <v>132</v>
      </c>
      <c r="C115" s="5" t="s">
        <v>74</v>
      </c>
      <c r="L115" s="3" t="s">
        <v>236</v>
      </c>
      <c r="M115" s="2" t="s">
        <v>131</v>
      </c>
      <c r="N115" s="2"/>
    </row>
    <row r="116" spans="1:13">
      <c r="A116" s="3" t="s">
        <v>237</v>
      </c>
      <c r="B116" s="4" t="s">
        <v>132</v>
      </c>
      <c r="C116" s="5" t="s">
        <v>109</v>
      </c>
      <c r="L116" s="3" t="s">
        <v>237</v>
      </c>
      <c r="M116" s="2" t="s">
        <v>131</v>
      </c>
    </row>
    <row r="117" spans="1:13">
      <c r="A117" s="3" t="s">
        <v>238</v>
      </c>
      <c r="B117" s="4" t="s">
        <v>132</v>
      </c>
      <c r="C117" s="5" t="s">
        <v>74</v>
      </c>
      <c r="L117" s="3" t="s">
        <v>238</v>
      </c>
      <c r="M117" s="2" t="s">
        <v>131</v>
      </c>
    </row>
    <row r="118" spans="1:13">
      <c r="A118" s="3" t="s">
        <v>239</v>
      </c>
      <c r="B118" s="4" t="s">
        <v>132</v>
      </c>
      <c r="C118" s="4" t="s">
        <v>66</v>
      </c>
      <c r="L118" s="3" t="s">
        <v>239</v>
      </c>
      <c r="M118" s="2" t="s">
        <v>131</v>
      </c>
    </row>
    <row r="119" spans="1:13">
      <c r="A119" s="3" t="s">
        <v>240</v>
      </c>
      <c r="B119" s="4" t="s">
        <v>132</v>
      </c>
      <c r="C119" s="4" t="s">
        <v>66</v>
      </c>
      <c r="L119" s="3" t="s">
        <v>240</v>
      </c>
      <c r="M119" s="2" t="s">
        <v>131</v>
      </c>
    </row>
    <row r="120" spans="1:13">
      <c r="A120" s="3" t="s">
        <v>241</v>
      </c>
      <c r="B120" s="4" t="s">
        <v>132</v>
      </c>
      <c r="C120" s="5" t="s">
        <v>74</v>
      </c>
      <c r="L120" s="3" t="s">
        <v>241</v>
      </c>
      <c r="M120" s="2" t="s">
        <v>131</v>
      </c>
    </row>
    <row r="121" spans="1:13">
      <c r="A121" s="3" t="s">
        <v>242</v>
      </c>
      <c r="B121" s="4" t="s">
        <v>132</v>
      </c>
      <c r="C121" s="5" t="s">
        <v>109</v>
      </c>
      <c r="L121" s="3" t="s">
        <v>242</v>
      </c>
      <c r="M121" s="2" t="s">
        <v>131</v>
      </c>
    </row>
  </sheetData>
  <sortState ref="A21:F43">
    <sortCondition ref="A21:A43" sortBy="cellColor" dxfId="0"/>
  </sortState>
  <mergeCells count="4">
    <mergeCell ref="B5:B36"/>
    <mergeCell ref="B58:B86"/>
    <mergeCell ref="B87:B98"/>
    <mergeCell ref="B104:B112"/>
  </mergeCells>
  <conditionalFormatting sqref="L111:L112">
    <cfRule type="duplicateValues" dxfId="1" priority="4"/>
  </conditionalFormatting>
  <conditionalFormatting sqref="L113:L115">
    <cfRule type="duplicateValues" dxfId="1" priority="3"/>
  </conditionalFormatting>
  <conditionalFormatting sqref="L116:L121">
    <cfRule type="duplicateValues" dxfId="1" priority="1"/>
  </conditionalFormatting>
  <conditionalFormatting sqref="A1 A5:A1048576">
    <cfRule type="duplicateValues" dxfId="1" priority="5"/>
  </conditionalFormatting>
  <conditionalFormatting sqref="Q6:Q236 Q3:Q4">
    <cfRule type="duplicateValues" dxfId="1" priority="22"/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U14" sqref="U14"/>
    </sheetView>
  </sheetViews>
  <sheetFormatPr defaultColWidth="9" defaultRowHeight="16.8"/>
  <sheetData/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发票箱单</vt:lpstr>
      <vt:lpstr>走货线路名和申报币别要求-不能删</vt:lpstr>
      <vt:lpstr>填写范本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哈喽</cp:lastModifiedBy>
  <dcterms:created xsi:type="dcterms:W3CDTF">2021-03-16T12:37:00Z</dcterms:created>
  <dcterms:modified xsi:type="dcterms:W3CDTF">2025-03-14T16:54:54Z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5764D31C326DD3F79BB0D367536C2F76_43</vt:lpwstr>
  </property>
  <property fmtid="{D5CDD505-2E9C-101B-9397-08002B2CF9AE}" pid="3" name="KSOProductBuildVer">
    <vt:lpwstr>2052-7.2.1.8947</vt:lpwstr>
  </property>
  <property fmtid="{D5CDD505-2E9C-101B-9397-08002B2CF9AE}" pid="4" name="KSOReadingLayout">
    <vt:bool>true</vt:bool>
  </property>
</Properties>
</file>