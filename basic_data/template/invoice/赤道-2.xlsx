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装箱单&amp;发票 发货信息" sheetId="3" r:id="rId1"/>
    <sheet name="渠道分解&amp;Fba编码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1" authorId="0">
      <text>
        <r>
          <rPr>
            <sz val="18"/>
            <rFont val="宋体"/>
            <charset val="134"/>
          </rPr>
          <t>有公式
自动填充</t>
        </r>
      </text>
    </comment>
    <comment ref="N11" authorId="0">
      <text>
        <r>
          <rPr>
            <sz val="18"/>
            <rFont val="宋体"/>
            <charset val="134"/>
          </rPr>
          <t>有公式
自动填充</t>
        </r>
      </text>
    </comment>
    <comment ref="P11" authorId="0">
      <text>
        <r>
          <rPr>
            <sz val="18"/>
            <rFont val="宋体"/>
            <charset val="134"/>
          </rPr>
          <t>有公式
自动填充</t>
        </r>
      </text>
    </comment>
  </commentList>
</comments>
</file>

<file path=xl/sharedStrings.xml><?xml version="1.0" encoding="utf-8"?>
<sst xmlns="http://schemas.openxmlformats.org/spreadsheetml/2006/main" count="2213" uniqueCount="2161">
  <si>
    <t>PACKING LIST/装箱单 &amp; INVOICE/发票</t>
  </si>
  <si>
    <r>
      <rPr>
        <b/>
        <sz val="12"/>
        <color rgb="FFFF0000"/>
        <rFont val="宋体"/>
        <charset val="134"/>
      </rPr>
      <t>为了贵司货物的安全出运，请如实填写资料的【完整性】和【正确性】，在官网订单导入时方可自动匹配内容（所有出货产品均不可瞒报），谢谢您的支持与配合~</t>
    </r>
    <r>
      <rPr>
        <sz val="12"/>
        <color rgb="FFFF0000"/>
        <rFont val="宋体"/>
        <charset val="134"/>
      </rPr>
      <t xml:space="preserve">
</t>
    </r>
    <r>
      <rPr>
        <b/>
        <sz val="12"/>
        <color rgb="FFFF0000"/>
        <rFont val="宋体"/>
        <charset val="134"/>
      </rPr>
      <t>中国海关编码查询网站</t>
    </r>
    <r>
      <rPr>
        <sz val="12"/>
        <color rgb="FFFF0000"/>
        <rFont val="宋体"/>
        <charset val="134"/>
      </rPr>
      <t xml:space="preserve"> https://hs.bianmachaxun.com/ 或者 http://www.likecha.com/      </t>
    </r>
    <r>
      <rPr>
        <b/>
        <sz val="12"/>
        <color rgb="FFFF0000"/>
        <rFont val="宋体"/>
        <charset val="134"/>
      </rPr>
      <t>申报要素查询网站</t>
    </r>
    <r>
      <rPr>
        <sz val="12"/>
        <color rgb="FFFF0000"/>
        <rFont val="宋体"/>
        <charset val="134"/>
      </rPr>
      <t xml:space="preserve"> http://service.ningbo.customs.gov.cn/NBCPCAM/ClassifyQuery.aspx      </t>
    </r>
    <r>
      <rPr>
        <b/>
        <sz val="12"/>
        <color rgb="FFFF0000"/>
        <rFont val="宋体"/>
        <charset val="134"/>
      </rPr>
      <t>美国海关编码查询</t>
    </r>
    <r>
      <rPr>
        <sz val="12"/>
        <color rgb="FFFF0000"/>
        <rFont val="宋体"/>
        <charset val="134"/>
      </rPr>
      <t xml:space="preserve"> https://hts.usitc.gov/
</t>
    </r>
    <r>
      <rPr>
        <b/>
        <sz val="12"/>
        <color rgb="FFC00000"/>
        <rFont val="宋体"/>
        <charset val="134"/>
      </rPr>
      <t xml:space="preserve">EORI查询网址 </t>
    </r>
    <r>
      <rPr>
        <sz val="12"/>
        <color rgb="FFC00000"/>
        <rFont val="宋体"/>
        <charset val="134"/>
      </rPr>
      <t xml:space="preserve">https://ec.europa.eu/taxation_customs/dds2/taric/taric_consultation.jsp?Lang=en </t>
    </r>
    <r>
      <rPr>
        <b/>
        <sz val="12"/>
        <color rgb="FFC00000"/>
        <rFont val="宋体"/>
        <charset val="134"/>
      </rPr>
      <t xml:space="preserve">(查询方式：输入国别代码(例如英国GB)+数字编码
VAT查询网址 </t>
    </r>
    <r>
      <rPr>
        <sz val="12"/>
        <color rgb="FFC00000"/>
        <rFont val="宋体"/>
        <charset val="134"/>
      </rPr>
      <t>http://ec.europa.eu/taxation_customs/vies/</t>
    </r>
    <r>
      <rPr>
        <b/>
        <sz val="12"/>
        <color rgb="FFC00000"/>
        <rFont val="宋体"/>
        <charset val="134"/>
      </rPr>
      <t xml:space="preserve"> （查询方式：先选择好国家，再输入数字代码）      欧盟的HS CODE 网址 </t>
    </r>
    <r>
      <rPr>
        <sz val="12"/>
        <color rgb="FFC00000"/>
        <rFont val="宋体"/>
        <charset val="134"/>
      </rPr>
      <t>https://www.trade-tariff.service.gov.uk/trade-tariff/sections</t>
    </r>
  </si>
  <si>
    <t>客户单号</t>
  </si>
  <si>
    <r>
      <rPr>
        <b/>
        <sz val="12"/>
        <rFont val="宋体"/>
        <charset val="134"/>
      </rPr>
      <t>是/否 FBA货物</t>
    </r>
    <r>
      <rPr>
        <sz val="10"/>
        <color rgb="FFFF0000"/>
        <rFont val="宋体"/>
        <charset val="134"/>
      </rPr>
      <t>(必填)
FBA仓库选 是/非FBA仓库选 否</t>
    </r>
  </si>
  <si>
    <t>是/YES</t>
  </si>
  <si>
    <r>
      <rPr>
        <b/>
        <sz val="12"/>
        <rFont val="宋体"/>
        <charset val="134"/>
      </rPr>
      <t>非FBA详细地址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(非FBA地址填写 门牌号+街道名称）</t>
    </r>
  </si>
  <si>
    <r>
      <rPr>
        <b/>
        <sz val="12"/>
        <rFont val="宋体"/>
        <charset val="134"/>
      </rPr>
      <t>FDA制造商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(申报FDA产品需要填写)</t>
    </r>
  </si>
  <si>
    <r>
      <rPr>
        <b/>
        <sz val="12"/>
        <rFont val="宋体"/>
        <charset val="134"/>
      </rPr>
      <t>FBA仓库编码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(FBA仓库可以下拉选择或者输入模糊匹配)</t>
    </r>
  </si>
  <si>
    <r>
      <rPr>
        <b/>
        <sz val="12"/>
        <rFont val="宋体"/>
        <charset val="134"/>
      </rPr>
      <t xml:space="preserve">公司名称
</t>
    </r>
    <r>
      <rPr>
        <sz val="10"/>
        <color rgb="FFFF0000"/>
        <rFont val="宋体"/>
        <charset val="134"/>
      </rPr>
      <t>(非FBA填写)</t>
    </r>
  </si>
  <si>
    <r>
      <rPr>
        <b/>
        <sz val="12"/>
        <rFont val="宋体"/>
        <charset val="134"/>
      </rPr>
      <t>非FBA-州名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</si>
  <si>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>非FBA-邮编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</si>
  <si>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>FDA制造商地址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(申报FDA产品需要填写)</t>
    </r>
  </si>
  <si>
    <r>
      <rPr>
        <b/>
        <sz val="12"/>
        <rFont val="宋体"/>
        <charset val="134"/>
      </rPr>
      <t>FBA仓库地址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(FBA地址会根据仓点自动匹配，无需填写)</t>
    </r>
  </si>
  <si>
    <r>
      <rPr>
        <b/>
        <sz val="12"/>
        <rFont val="宋体"/>
        <charset val="134"/>
      </rPr>
      <t>联系人</t>
    </r>
    <r>
      <rPr>
        <b/>
        <sz val="10"/>
        <color rgb="FFFF0000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(非FBA填写)</t>
    </r>
  </si>
  <si>
    <r>
      <rPr>
        <b/>
        <sz val="12"/>
        <rFont val="宋体"/>
        <charset val="134"/>
      </rPr>
      <t>非FBA-城市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</si>
  <si>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>非FBA-国家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</si>
  <si>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 xml:space="preserve">EORI号
</t>
    </r>
    <r>
      <rPr>
        <sz val="10"/>
        <color rgb="FFFF0000"/>
        <rFont val="宋体"/>
        <charset val="134"/>
      </rPr>
      <t>(英国海运VAT需要填写)</t>
    </r>
  </si>
  <si>
    <r>
      <rPr>
        <b/>
        <sz val="12"/>
        <rFont val="宋体"/>
        <charset val="134"/>
      </rPr>
      <t>渠道类型</t>
    </r>
    <r>
      <rPr>
        <sz val="12"/>
        <rFont val="宋体"/>
        <charset val="134"/>
      </rPr>
      <t xml:space="preserve">
</t>
    </r>
    <r>
      <rPr>
        <sz val="11"/>
        <color rgb="FFFF0000"/>
        <rFont val="宋体"/>
        <charset val="134"/>
      </rPr>
      <t>(必填)下拉选择</t>
    </r>
  </si>
  <si>
    <r>
      <rPr>
        <b/>
        <sz val="12"/>
        <rFont val="宋体"/>
        <charset val="134"/>
      </rPr>
      <t xml:space="preserve">联系电话
</t>
    </r>
    <r>
      <rPr>
        <sz val="10"/>
        <color rgb="FFFF0000"/>
        <rFont val="宋体"/>
        <charset val="134"/>
      </rPr>
      <t>(非FBA填写)</t>
    </r>
  </si>
  <si>
    <r>
      <rPr>
        <b/>
        <sz val="12"/>
        <rFont val="宋体"/>
        <charset val="134"/>
      </rPr>
      <t>非FBA-邮箱</t>
    </r>
    <r>
      <rPr>
        <sz val="12"/>
        <rFont val="宋体"/>
        <charset val="134"/>
      </rPr>
      <t xml:space="preserve">
</t>
    </r>
    <r>
      <rPr>
        <sz val="10"/>
        <color rgb="FFFF0000"/>
        <rFont val="宋体"/>
        <charset val="134"/>
      </rPr>
      <t>(非FBA地址填写）</t>
    </r>
  </si>
  <si>
    <r>
      <rPr>
        <b/>
        <sz val="12"/>
        <rFont val="宋体"/>
        <charset val="134"/>
      </rPr>
      <t xml:space="preserve">自主VAT号
</t>
    </r>
    <r>
      <rPr>
        <sz val="10"/>
        <color rgb="FFFF0000"/>
        <rFont val="宋体"/>
        <charset val="134"/>
      </rPr>
      <t>(不包税产品申报填写)</t>
    </r>
  </si>
  <si>
    <r>
      <rPr>
        <b/>
        <sz val="12"/>
        <rFont val="宋体"/>
        <charset val="134"/>
      </rPr>
      <t xml:space="preserve">报关方式
</t>
    </r>
    <r>
      <rPr>
        <sz val="11"/>
        <color rgb="FFFF0000"/>
        <rFont val="宋体"/>
        <charset val="134"/>
      </rPr>
      <t>下拉选择</t>
    </r>
  </si>
  <si>
    <t>有单证</t>
  </si>
  <si>
    <t>有单证为退税报关件，请及时提供报关单证并做好电子委托~
部分退税请在特殊备注中注明退税部分数据，谢谢~</t>
  </si>
  <si>
    <r>
      <rPr>
        <b/>
        <sz val="12"/>
        <rFont val="宋体"/>
        <charset val="134"/>
      </rPr>
      <t xml:space="preserve">普通货物
</t>
    </r>
    <r>
      <rPr>
        <sz val="11"/>
        <color rgb="FFFF0000"/>
        <rFont val="宋体"/>
        <charset val="134"/>
      </rPr>
      <t>下拉选择</t>
    </r>
  </si>
  <si>
    <t>普货</t>
  </si>
  <si>
    <r>
      <rPr>
        <b/>
        <sz val="12"/>
        <rFont val="宋体"/>
        <charset val="134"/>
      </rPr>
      <t xml:space="preserve">VAT公司名称
</t>
    </r>
    <r>
      <rPr>
        <sz val="10"/>
        <color rgb="FFFF0000"/>
        <rFont val="宋体"/>
        <charset val="134"/>
      </rPr>
      <t>(不包税产品申报填写)</t>
    </r>
  </si>
  <si>
    <r>
      <rPr>
        <b/>
        <sz val="12"/>
        <rFont val="宋体"/>
        <charset val="134"/>
      </rPr>
      <t xml:space="preserve">交货日期
</t>
    </r>
    <r>
      <rPr>
        <sz val="11"/>
        <color rgb="FFFF0000"/>
        <rFont val="宋体"/>
        <charset val="134"/>
      </rPr>
      <t>(必填)</t>
    </r>
  </si>
  <si>
    <t>2025.6.5</t>
  </si>
  <si>
    <r>
      <rPr>
        <b/>
        <sz val="12"/>
        <rFont val="宋体"/>
        <charset val="134"/>
      </rPr>
      <t xml:space="preserve">箱数/件数
</t>
    </r>
    <r>
      <rPr>
        <sz val="10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</si>
  <si>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特殊货物
</t>
    </r>
    <r>
      <rPr>
        <sz val="11"/>
        <color rgb="FFFF0000"/>
        <rFont val="宋体"/>
        <charset val="134"/>
      </rPr>
      <t>下拉选择</t>
    </r>
  </si>
  <si>
    <t>无</t>
  </si>
  <si>
    <r>
      <rPr>
        <b/>
        <sz val="12"/>
        <rFont val="宋体"/>
        <charset val="134"/>
      </rPr>
      <t xml:space="preserve">发货人/收货人/通知人
</t>
    </r>
    <r>
      <rPr>
        <sz val="12"/>
        <color rgb="FFFF0000"/>
        <rFont val="宋体"/>
        <charset val="134"/>
      </rPr>
      <t>退税件提单需要提供</t>
    </r>
  </si>
  <si>
    <r>
      <rPr>
        <b/>
        <sz val="12"/>
        <rFont val="宋体"/>
        <charset val="134"/>
      </rPr>
      <t xml:space="preserve">预定船期
</t>
    </r>
    <r>
      <rPr>
        <sz val="11"/>
        <color rgb="FFFF0000"/>
        <rFont val="宋体"/>
        <charset val="134"/>
      </rPr>
      <t>(必填)</t>
    </r>
  </si>
  <si>
    <t>2025.6.12</t>
  </si>
  <si>
    <r>
      <rPr>
        <b/>
        <sz val="12"/>
        <rFont val="宋体"/>
        <charset val="134"/>
      </rPr>
      <t xml:space="preserve">总毛重
</t>
    </r>
    <r>
      <rPr>
        <sz val="10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</si>
  <si>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特殊备注
</t>
    </r>
    <r>
      <rPr>
        <sz val="10"/>
        <color rgb="FFFF0000"/>
        <rFont val="宋体"/>
        <charset val="134"/>
      </rPr>
      <t>(内部备注)</t>
    </r>
  </si>
  <si>
    <t>1、请重视产品信息的填写，所有产品都要报关，不可以漏写产品。
2、请务必按我司要求贴箱唛。
3、私人地址的产品必须保证产品不侵权。
4、欧洲不包税货物请提供自主VAT号，EORI 号码以及VAT公司名称
5、海外仓货物必须提供SKU 或者 UPC号码</t>
  </si>
  <si>
    <r>
      <rPr>
        <b/>
        <sz val="12"/>
        <rFont val="宋体"/>
        <charset val="134"/>
      </rPr>
      <t xml:space="preserve">送货仓库
</t>
    </r>
    <r>
      <rPr>
        <sz val="11"/>
        <color rgb="FFFF0000"/>
        <rFont val="宋体"/>
        <charset val="134"/>
      </rPr>
      <t>下拉选择</t>
    </r>
  </si>
  <si>
    <t>义乌二号仓</t>
  </si>
  <si>
    <r>
      <rPr>
        <b/>
        <sz val="12"/>
        <rFont val="宋体"/>
        <charset val="134"/>
      </rPr>
      <t xml:space="preserve">总体积
</t>
    </r>
    <r>
      <rPr>
        <sz val="10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</si>
  <si>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清关总价/立方
</t>
    </r>
    <r>
      <rPr>
        <sz val="11"/>
        <color rgb="FFFF0000"/>
        <rFont val="宋体"/>
        <charset val="134"/>
      </rPr>
      <t>(自动填充)</t>
    </r>
  </si>
  <si>
    <r>
      <rPr>
        <b/>
        <sz val="12"/>
        <rFont val="宋体"/>
        <charset val="134"/>
      </rPr>
      <t xml:space="preserve">毛重/立方
</t>
    </r>
    <r>
      <rPr>
        <sz val="12"/>
        <color rgb="FFFF0000"/>
        <rFont val="宋体"/>
        <charset val="134"/>
      </rPr>
      <t>(自动填充)</t>
    </r>
  </si>
  <si>
    <r>
      <rPr>
        <b/>
        <sz val="10"/>
        <rFont val="宋体"/>
        <charset val="134"/>
      </rPr>
      <t xml:space="preserve">货件编号SHIPMENT ID
</t>
    </r>
    <r>
      <rPr>
        <sz val="10"/>
        <color rgb="FFFF0000"/>
        <rFont val="宋体"/>
        <charset val="134"/>
      </rPr>
      <t xml:space="preserve">(亚马逊货物必填）
</t>
    </r>
    <r>
      <rPr>
        <sz val="10"/>
        <color rgb="FF00B0F0"/>
        <rFont val="宋体"/>
        <charset val="134"/>
      </rPr>
      <t>不可合并</t>
    </r>
  </si>
  <si>
    <r>
      <rPr>
        <b/>
        <sz val="10"/>
        <rFont val="宋体"/>
        <charset val="134"/>
      </rPr>
      <t xml:space="preserve">跟踪编号
REFERENCE ID
</t>
    </r>
    <r>
      <rPr>
        <sz val="10"/>
        <color rgb="FFFF0000"/>
        <rFont val="宋体"/>
        <charset val="134"/>
      </rPr>
      <t xml:space="preserve">(亚马逊货物必填）
</t>
    </r>
    <r>
      <rPr>
        <sz val="10"/>
        <color rgb="FF00B0F0"/>
        <rFont val="宋体"/>
        <charset val="134"/>
      </rPr>
      <t>不可合并</t>
    </r>
  </si>
  <si>
    <r>
      <rPr>
        <b/>
        <sz val="10"/>
        <rFont val="宋体"/>
        <charset val="134"/>
      </rPr>
      <t xml:space="preserve">图片
PRODUCT PICTURE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</si>
  <si>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海关编码
HS CODE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</si>
  <si>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>中文品名
CN DESCRIPTION OF GOODS</t>
    </r>
    <r>
      <rPr>
        <sz val="10"/>
        <color rgb="FFFF0000"/>
        <rFont val="宋体"/>
        <charset val="134"/>
      </rPr>
      <t>(必填)
不可合并</t>
    </r>
  </si>
  <si>
    <r>
      <rPr>
        <b/>
        <sz val="10"/>
        <rFont val="宋体"/>
        <charset val="134"/>
      </rPr>
      <t>英文品名
EN DESCRIPTION OF GOODS</t>
    </r>
    <r>
      <rPr>
        <sz val="10"/>
        <color rgb="FFFF0000"/>
        <rFont val="宋体"/>
        <charset val="134"/>
      </rPr>
      <t>(必填)
不可合并</t>
    </r>
  </si>
  <si>
    <r>
      <rPr>
        <b/>
        <sz val="10"/>
        <rFont val="宋体"/>
        <charset val="134"/>
      </rPr>
      <t xml:space="preserve">箱规CARTON SIZE
(长X宽X高)厘米CM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</si>
  <si>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单件
数量
QTY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</si>
  <si>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箱数
CTNS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</si>
  <si>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总数量
T.QTY
</t>
    </r>
    <r>
      <rPr>
        <sz val="10"/>
        <color rgb="FFFF0000"/>
        <rFont val="宋体"/>
        <charset val="134"/>
      </rPr>
      <t xml:space="preserve">(必填)
</t>
    </r>
    <r>
      <rPr>
        <sz val="10"/>
        <color rgb="FF00B0F0"/>
        <rFont val="宋体"/>
        <charset val="134"/>
      </rPr>
      <t>自动填充</t>
    </r>
  </si>
  <si>
    <r>
      <rPr>
        <b/>
        <sz val="10"/>
        <rFont val="宋体"/>
        <charset val="134"/>
      </rPr>
      <t xml:space="preserve">总毛重
T.K.GW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</si>
  <si>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总体积
T.CBM
</t>
    </r>
    <r>
      <rPr>
        <sz val="10"/>
        <color rgb="FFFF0000"/>
        <rFont val="宋体"/>
        <charset val="134"/>
      </rPr>
      <t xml:space="preserve">(必填)
</t>
    </r>
    <r>
      <rPr>
        <sz val="10"/>
        <color rgb="FF00B0F0"/>
        <rFont val="宋体"/>
        <charset val="134"/>
      </rPr>
      <t>自动填充</t>
    </r>
  </si>
  <si>
    <r>
      <rPr>
        <b/>
        <sz val="10"/>
        <rFont val="宋体"/>
        <charset val="134"/>
      </rPr>
      <t>清关
申报</t>
    </r>
    <r>
      <rPr>
        <b/>
        <sz val="10"/>
        <color rgb="FFFF0000"/>
        <rFont val="宋体"/>
        <charset val="134"/>
      </rPr>
      <t>单价</t>
    </r>
    <r>
      <rPr>
        <sz val="10"/>
        <rFont val="宋体"/>
        <charset val="134"/>
      </rPr>
      <t xml:space="preserve">（USD）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</si>
  <si>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>清关
申报</t>
    </r>
    <r>
      <rPr>
        <b/>
        <sz val="10"/>
        <color rgb="FFFF0000"/>
        <rFont val="宋体"/>
        <charset val="134"/>
      </rPr>
      <t>总金额</t>
    </r>
    <r>
      <rPr>
        <b/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（USD）
</t>
    </r>
    <r>
      <rPr>
        <sz val="10"/>
        <color rgb="FFFF0000"/>
        <rFont val="宋体"/>
        <charset val="134"/>
      </rPr>
      <t xml:space="preserve">(必填)
</t>
    </r>
    <r>
      <rPr>
        <sz val="10"/>
        <color rgb="FF00B0F0"/>
        <rFont val="宋体"/>
        <charset val="134"/>
      </rPr>
      <t>自动填充</t>
    </r>
  </si>
  <si>
    <r>
      <rPr>
        <b/>
        <sz val="10"/>
        <rFont val="宋体"/>
        <charset val="134"/>
      </rPr>
      <t xml:space="preserve">中英文材质
MATERIAL
</t>
    </r>
    <r>
      <rPr>
        <sz val="10"/>
        <color rgb="FFFF0000"/>
        <rFont val="宋体"/>
        <charset val="134"/>
      </rPr>
      <t>(必填)</t>
    </r>
  </si>
  <si>
    <r>
      <rPr>
        <b/>
        <sz val="10"/>
        <rFont val="宋体"/>
        <charset val="134"/>
      </rPr>
      <t xml:space="preserve">中英文用途
USE FOR
</t>
    </r>
    <r>
      <rPr>
        <sz val="10"/>
        <color rgb="FFFF0000"/>
        <rFont val="宋体"/>
        <charset val="134"/>
      </rPr>
      <t>(必填)</t>
    </r>
  </si>
  <si>
    <t>规格/型号
MODEL</t>
  </si>
  <si>
    <t>品牌
LOGO</t>
  </si>
  <si>
    <r>
      <rPr>
        <b/>
        <sz val="10"/>
        <rFont val="宋体"/>
        <charset val="134"/>
      </rPr>
      <t xml:space="preserve">货件创建时间
FBA SHIPMENT TIME
</t>
    </r>
    <r>
      <rPr>
        <sz val="10"/>
        <color rgb="FFFF0000"/>
        <rFont val="宋体"/>
        <charset val="134"/>
      </rPr>
      <t>(亚马逊货物必填）
不可合并</t>
    </r>
  </si>
  <si>
    <r>
      <rPr>
        <b/>
        <sz val="10"/>
        <rFont val="宋体"/>
        <charset val="134"/>
      </rPr>
      <t xml:space="preserve">货件创建地
FBA SHIPMENT ADD 
</t>
    </r>
    <r>
      <rPr>
        <sz val="10"/>
        <color rgb="FFFF0000"/>
        <rFont val="宋体"/>
        <charset val="134"/>
      </rPr>
      <t>(亚马逊货物必填）
不可合并</t>
    </r>
  </si>
  <si>
    <r>
      <rPr>
        <b/>
        <sz val="10"/>
        <rFont val="宋体"/>
        <charset val="134"/>
      </rPr>
      <t xml:space="preserve">备注
note
</t>
    </r>
    <r>
      <rPr>
        <sz val="10"/>
        <color rgb="FFFF0000"/>
        <rFont val="宋体"/>
        <charset val="134"/>
      </rPr>
      <t>希音SHEIN单号</t>
    </r>
  </si>
  <si>
    <r>
      <rPr>
        <b/>
        <sz val="10"/>
        <rFont val="宋体"/>
        <charset val="134"/>
      </rPr>
      <t xml:space="preserve">亚马逊链接
</t>
    </r>
    <r>
      <rPr>
        <sz val="10"/>
        <rFont val="宋体"/>
        <charset val="134"/>
      </rPr>
      <t>(</t>
    </r>
    <r>
      <rPr>
        <sz val="10"/>
        <color rgb="FFFF0000"/>
        <rFont val="宋体"/>
        <charset val="134"/>
      </rPr>
      <t>欧洲货物必填)</t>
    </r>
  </si>
  <si>
    <t>SKU NO.
(FBA货物仓储/散货/快递时必填）</t>
  </si>
  <si>
    <t>UPC NO.
(FBA货物仓储/散货/快递时必填）</t>
  </si>
  <si>
    <t>合计TOTAL</t>
  </si>
  <si>
    <t>渠道</t>
  </si>
  <si>
    <t>至尊保(包税)</t>
  </si>
  <si>
    <t>FBA仓库</t>
  </si>
  <si>
    <t>AMAZON-PHX3</t>
  </si>
  <si>
    <t>地址</t>
  </si>
  <si>
    <t>6835 W. Buckeye Rd. Phoenix AZ 85043,USA</t>
  </si>
  <si>
    <t>州名</t>
  </si>
  <si>
    <t>中文州名</t>
  </si>
  <si>
    <t>英文全称</t>
  </si>
  <si>
    <t>首府</t>
  </si>
  <si>
    <t>国家(中文)</t>
  </si>
  <si>
    <t>国家缩写</t>
  </si>
  <si>
    <t>全美520H(包税)</t>
  </si>
  <si>
    <t>AMAZON-PHX5</t>
  </si>
  <si>
    <t>16920 W. Commerce Dr. Goodyear AZ 85338,USA</t>
  </si>
  <si>
    <t>AL</t>
  </si>
  <si>
    <t>亚拉巴马州</t>
  </si>
  <si>
    <t>Alabama</t>
  </si>
  <si>
    <t>蒙哥马利</t>
  </si>
  <si>
    <t>美国</t>
  </si>
  <si>
    <t>US|美国</t>
  </si>
  <si>
    <t>全美自由行</t>
  </si>
  <si>
    <t>AMAZON-MKE5</t>
  </si>
  <si>
    <t>11211 Burlington Road  Kenosha WI 53144,USA</t>
  </si>
  <si>
    <t>AK</t>
  </si>
  <si>
    <t>阿拉斯加州</t>
  </si>
  <si>
    <t>Alaska</t>
  </si>
  <si>
    <t>朱诺</t>
  </si>
  <si>
    <t>加拿大</t>
  </si>
  <si>
    <t>CA|加拿大</t>
  </si>
  <si>
    <t>全美自由行(不包税)</t>
  </si>
  <si>
    <t>AMAZON-PHX6</t>
  </si>
  <si>
    <t>4750 W. Mohave St. Phoenix AZ 85043,USA</t>
  </si>
  <si>
    <t>AZ</t>
  </si>
  <si>
    <t>亚利桑那州</t>
  </si>
  <si>
    <t>Arizona</t>
  </si>
  <si>
    <t>菲尼克斯</t>
  </si>
  <si>
    <t>中国</t>
  </si>
  <si>
    <t>CN|中国</t>
  </si>
  <si>
    <t>全美自由行(立方包税)</t>
  </si>
  <si>
    <t>AMAZON-MKE1</t>
  </si>
  <si>
    <t>3501 120th Ave. Kenosha WI 53144,USA</t>
  </si>
  <si>
    <t>AR</t>
  </si>
  <si>
    <t>阿肯色州</t>
  </si>
  <si>
    <t>Arkansas</t>
  </si>
  <si>
    <t>小石城</t>
  </si>
  <si>
    <t>英国</t>
  </si>
  <si>
    <t>GB|英国</t>
  </si>
  <si>
    <t>美森卡派(包税)</t>
  </si>
  <si>
    <t>AMAZON-RIC3</t>
  </si>
  <si>
    <t>4949 Commerce Rd,RICHMOND,VA 23234-2207,USA</t>
  </si>
  <si>
    <t>CA</t>
  </si>
  <si>
    <t>加利福尼亚州</t>
  </si>
  <si>
    <t>California</t>
  </si>
  <si>
    <t>萨克拉门托</t>
  </si>
  <si>
    <t>德国</t>
  </si>
  <si>
    <t>DE|德国</t>
  </si>
  <si>
    <t>美森卡派(不包税)</t>
  </si>
  <si>
    <t>AMAZON-RIC2</t>
  </si>
  <si>
    <t>1901 Meadowville Technology Parkway Chester VA 23836,USA</t>
  </si>
  <si>
    <t>CO</t>
  </si>
  <si>
    <t>科罗拉多州</t>
  </si>
  <si>
    <t>Colorado</t>
  </si>
  <si>
    <t>丹佛</t>
  </si>
  <si>
    <t>法国</t>
  </si>
  <si>
    <t>FR|法国</t>
  </si>
  <si>
    <t>美森卡派(立方包税)</t>
  </si>
  <si>
    <t>AMAZON-PHX7</t>
  </si>
  <si>
    <t>800 N. 75th Ave Phoenix AZ 85043,USA</t>
  </si>
  <si>
    <t>CT</t>
  </si>
  <si>
    <t>康涅狄格州</t>
  </si>
  <si>
    <t>Connecticut</t>
  </si>
  <si>
    <t>哈特福德</t>
  </si>
  <si>
    <t>阿富汗</t>
  </si>
  <si>
    <t>AF</t>
  </si>
  <si>
    <t>美中美森卡派(包税)</t>
  </si>
  <si>
    <t>AMAZON-RIC1</t>
  </si>
  <si>
    <t>5000 Commerce Way Petersburg VA 23803,USA</t>
  </si>
  <si>
    <t>DE</t>
  </si>
  <si>
    <t>特拉华州</t>
  </si>
  <si>
    <t>Delaware</t>
  </si>
  <si>
    <t>多佛</t>
  </si>
  <si>
    <t>巴林</t>
  </si>
  <si>
    <t>BH</t>
  </si>
  <si>
    <t>美中美森卡派(不包税)</t>
  </si>
  <si>
    <t>AMAZON-CHA2</t>
  </si>
  <si>
    <t>225 Infinity Dr NW Charleston TN 37310,USA</t>
  </si>
  <si>
    <t>FL</t>
  </si>
  <si>
    <t>佛罗里达州</t>
  </si>
  <si>
    <t>Florida</t>
  </si>
  <si>
    <t>塔拉哈西</t>
  </si>
  <si>
    <t>孟加拉国</t>
  </si>
  <si>
    <t>BD</t>
  </si>
  <si>
    <t>美中美森卡派(立方包税)</t>
  </si>
  <si>
    <t>AMAZON-TFC1</t>
  </si>
  <si>
    <t>4750 W. Mohave St Phoenix AZ 85043,USA</t>
  </si>
  <si>
    <t>GA</t>
  </si>
  <si>
    <t>佐治亚州</t>
  </si>
  <si>
    <t>Georgia</t>
  </si>
  <si>
    <t>亚特兰大</t>
  </si>
  <si>
    <t>不丹</t>
  </si>
  <si>
    <t>BT</t>
  </si>
  <si>
    <t>美东美森卡派(包税)</t>
  </si>
  <si>
    <t>AMAZON-CHA1</t>
  </si>
  <si>
    <t>7200 Discovery Drive Chattanooga TN 37421,USA</t>
  </si>
  <si>
    <t>HI</t>
  </si>
  <si>
    <t>夏威夷州</t>
  </si>
  <si>
    <t>Hawaii</t>
  </si>
  <si>
    <t>火奴鲁鲁</t>
  </si>
  <si>
    <t>文莱</t>
  </si>
  <si>
    <t>BN</t>
  </si>
  <si>
    <t>美东美森卡派(不包税)</t>
  </si>
  <si>
    <t>AMAZON-BNA5</t>
  </si>
  <si>
    <t>50 Airways Blvd.Nashville TN 37217,USA</t>
  </si>
  <si>
    <t>ID</t>
  </si>
  <si>
    <t>爱达荷州</t>
  </si>
  <si>
    <t>Idaho</t>
  </si>
  <si>
    <t>博伊西</t>
  </si>
  <si>
    <t>缅甸</t>
  </si>
  <si>
    <t>MM</t>
  </si>
  <si>
    <t>美东美森卡派(立方包税)</t>
  </si>
  <si>
    <t>AMAZON-ONT2</t>
  </si>
  <si>
    <t>1910 E Central Ave.San Bernardino CA 92408,USA</t>
  </si>
  <si>
    <t>IL</t>
  </si>
  <si>
    <t>伊利诺伊州</t>
  </si>
  <si>
    <t>Illinois</t>
  </si>
  <si>
    <t>斯普林菲尔德</t>
  </si>
  <si>
    <t>柬埔寨</t>
  </si>
  <si>
    <t>KH</t>
  </si>
  <si>
    <t>美森海派</t>
  </si>
  <si>
    <t>AMAZON-BNA3</t>
  </si>
  <si>
    <t>2020 Joe B Jackson Pkwy Murfreesboro TN 37127,USA</t>
  </si>
  <si>
    <t>IN</t>
  </si>
  <si>
    <t>印第安纳州</t>
  </si>
  <si>
    <t>Indiana</t>
  </si>
  <si>
    <t>印第安纳波利斯</t>
  </si>
  <si>
    <t>塞浦路斯</t>
  </si>
  <si>
    <t>CY</t>
  </si>
  <si>
    <t>美西美森大货中转(包税)</t>
  </si>
  <si>
    <t>AMAZON-BNA2</t>
  </si>
  <si>
    <t>500 Duke DR Lebanon TN 37090,USA</t>
  </si>
  <si>
    <t>IA</t>
  </si>
  <si>
    <t>艾奥瓦州</t>
  </si>
  <si>
    <t>Iowa</t>
  </si>
  <si>
    <t>得梅因</t>
  </si>
  <si>
    <t>朝鲜</t>
  </si>
  <si>
    <t>KP</t>
  </si>
  <si>
    <t>美西美森大货中转(不包税)</t>
  </si>
  <si>
    <t>AMAZON-BNA1</t>
  </si>
  <si>
    <t>14840 Central Pike Lebanon TN 37090,USA</t>
  </si>
  <si>
    <t>KS</t>
  </si>
  <si>
    <t>堪萨斯州</t>
  </si>
  <si>
    <t>Kansas</t>
  </si>
  <si>
    <t>托皮卡</t>
  </si>
  <si>
    <t>香港</t>
  </si>
  <si>
    <t>HK</t>
  </si>
  <si>
    <t>美西美森大货中转(立方包税)</t>
  </si>
  <si>
    <t>AMAZON-GSP1</t>
  </si>
  <si>
    <t>402 John Dodd Rd Spartanburg SC 29303,USA</t>
  </si>
  <si>
    <t>KY</t>
  </si>
  <si>
    <t>肯塔基州</t>
  </si>
  <si>
    <t>Kentucky</t>
  </si>
  <si>
    <t>法兰克福</t>
  </si>
  <si>
    <t>印度</t>
  </si>
  <si>
    <t>华东加速保PLUS(包税)</t>
  </si>
  <si>
    <t>AMAZON-CAE1</t>
  </si>
  <si>
    <t>4400 12 Street Extension West Columbia SC 29172,USA</t>
  </si>
  <si>
    <t>LA</t>
  </si>
  <si>
    <t>路易斯安那州</t>
  </si>
  <si>
    <t>Louisiana</t>
  </si>
  <si>
    <t>巴吞鲁日</t>
  </si>
  <si>
    <t>印度尼西亚</t>
  </si>
  <si>
    <t>华南加速保PLUS(包税)</t>
  </si>
  <si>
    <t>AMAZON-PIT5</t>
  </si>
  <si>
    <t>2250 Roswell Drive Pittsburgh PA 15205,USA</t>
  </si>
  <si>
    <t>ME</t>
  </si>
  <si>
    <t>缅因州</t>
  </si>
  <si>
    <t>Maine</t>
  </si>
  <si>
    <t>奥古斯塔</t>
  </si>
  <si>
    <t>伊朗</t>
  </si>
  <si>
    <t>IR</t>
  </si>
  <si>
    <t>华东加速保(包税)</t>
  </si>
  <si>
    <t>AMAZON-BDL2</t>
  </si>
  <si>
    <t>200 Old Iron Ore Road Windsor CT 06095,USA</t>
  </si>
  <si>
    <t>MD</t>
  </si>
  <si>
    <t>马里兰州</t>
  </si>
  <si>
    <t>Maryland</t>
  </si>
  <si>
    <t>安那波利斯</t>
  </si>
  <si>
    <t>伊拉克</t>
  </si>
  <si>
    <t>IQ</t>
  </si>
  <si>
    <t>华东加速保(不包税)</t>
  </si>
  <si>
    <t>AMAZON-AVP8</t>
  </si>
  <si>
    <t>250 Enterprise Way Pittston PA 18640,USA</t>
  </si>
  <si>
    <t>MA</t>
  </si>
  <si>
    <t>马萨诸塞州</t>
  </si>
  <si>
    <t>Massachusetts</t>
  </si>
  <si>
    <t>波士顿</t>
  </si>
  <si>
    <t>以色列</t>
  </si>
  <si>
    <t>华东加速保(立方包税)</t>
  </si>
  <si>
    <t>AMAZON-XUSC</t>
  </si>
  <si>
    <t>40 Logistics Drive Carlisle PA 17013,USA</t>
  </si>
  <si>
    <t>MI</t>
  </si>
  <si>
    <t>密歇根州</t>
  </si>
  <si>
    <t>Michigan</t>
  </si>
  <si>
    <t>兰辛</t>
  </si>
  <si>
    <t>日本</t>
  </si>
  <si>
    <t>JP</t>
  </si>
  <si>
    <t>华东加速保OA(包税)</t>
  </si>
  <si>
    <t>AMAZON-HOU2</t>
  </si>
  <si>
    <t>10550 Ella Boulevard Houston TX 77090,USA</t>
  </si>
  <si>
    <t>MN</t>
  </si>
  <si>
    <t>明尼苏达州</t>
  </si>
  <si>
    <t>Minnesota</t>
  </si>
  <si>
    <t>圣保罗</t>
  </si>
  <si>
    <t>约旦</t>
  </si>
  <si>
    <t>JO</t>
  </si>
  <si>
    <t>华南加速保OA(包税)</t>
  </si>
  <si>
    <t>AMAZON-PHL6</t>
  </si>
  <si>
    <t>675 Allen Rd Carlisle PA 17015,USA</t>
  </si>
  <si>
    <t>MS</t>
  </si>
  <si>
    <t>密西西比州</t>
  </si>
  <si>
    <t>Mississippi</t>
  </si>
  <si>
    <t>杰克逊</t>
  </si>
  <si>
    <t>科威特</t>
  </si>
  <si>
    <t>KW</t>
  </si>
  <si>
    <t>华南加速保(包税)</t>
  </si>
  <si>
    <t>AMAZON-PHL5</t>
  </si>
  <si>
    <t>500 McCarthy Dr. Lewisberry PA 17339,USA</t>
  </si>
  <si>
    <t>MO</t>
  </si>
  <si>
    <t>密苏里州</t>
  </si>
  <si>
    <t>Missouri</t>
  </si>
  <si>
    <t>杰斐逊城</t>
  </si>
  <si>
    <t>老挝</t>
  </si>
  <si>
    <t>华南加速保(不包税)</t>
  </si>
  <si>
    <t>AMAZON-PHL4</t>
  </si>
  <si>
    <t>21 Roadway Dr Carlisle PA 17015,USA</t>
  </si>
  <si>
    <t>MT</t>
  </si>
  <si>
    <t>蒙大拿州</t>
  </si>
  <si>
    <t>Montana</t>
  </si>
  <si>
    <t>赫勒拿</t>
  </si>
  <si>
    <t>黎巴嫩</t>
  </si>
  <si>
    <t>LB</t>
  </si>
  <si>
    <t>华南加速保(立方包税)</t>
  </si>
  <si>
    <t>AMAZON-BOS6</t>
  </si>
  <si>
    <t>201 Beacham Street Celsea MA 02150,USA</t>
  </si>
  <si>
    <t>NE</t>
  </si>
  <si>
    <t>内布拉斯加州</t>
  </si>
  <si>
    <t>Nebraska</t>
  </si>
  <si>
    <t>林肯</t>
  </si>
  <si>
    <t>澳门</t>
  </si>
  <si>
    <t>华东SHEIN专线</t>
  </si>
  <si>
    <t>AMAZON-MDT1</t>
  </si>
  <si>
    <t>2 Ames Drive Carlisle PA 17015,USA</t>
  </si>
  <si>
    <t>NV</t>
  </si>
  <si>
    <t>内华达州</t>
  </si>
  <si>
    <t>Nevada</t>
  </si>
  <si>
    <t>卡森城</t>
  </si>
  <si>
    <t>马来西亚</t>
  </si>
  <si>
    <t>MY</t>
  </si>
  <si>
    <t>华东SHEIN快线</t>
  </si>
  <si>
    <t>AMAZON-ONT4</t>
  </si>
  <si>
    <t>1910 E Central Ave San Bernardino CA 92408,USA</t>
  </si>
  <si>
    <t>NH</t>
  </si>
  <si>
    <t>新罕布什尔州</t>
  </si>
  <si>
    <t>New Hampshire</t>
  </si>
  <si>
    <t>康科德</t>
  </si>
  <si>
    <t>马尔代夫</t>
  </si>
  <si>
    <t>MV</t>
  </si>
  <si>
    <t>华南SHEIN快线</t>
  </si>
  <si>
    <t>AMAZON-MDT2</t>
  </si>
  <si>
    <t>600 Principio Parkway West North East MD 21901,USA</t>
  </si>
  <si>
    <t>NJ</t>
  </si>
  <si>
    <t>新泽西州</t>
  </si>
  <si>
    <t>New Jersey</t>
  </si>
  <si>
    <t>特伦顿</t>
  </si>
  <si>
    <t>蒙古</t>
  </si>
  <si>
    <t>华南SHEIN专线</t>
  </si>
  <si>
    <t>AMAZON-AVP1</t>
  </si>
  <si>
    <t>550 Oak Ridge Road Hazleton PA 18202,USA</t>
  </si>
  <si>
    <t>NM</t>
  </si>
  <si>
    <t>新墨西哥州</t>
  </si>
  <si>
    <t>New Mexico</t>
  </si>
  <si>
    <t>圣菲</t>
  </si>
  <si>
    <t>尼泊尔联邦民主共和国</t>
  </si>
  <si>
    <t>NP</t>
  </si>
  <si>
    <t>华东SHEIN快线(不包税)</t>
  </si>
  <si>
    <t>AMAZON-ONT5</t>
  </si>
  <si>
    <t>2020 E. Central Ave San Bernardino CA 92408,USA</t>
  </si>
  <si>
    <t>NY</t>
  </si>
  <si>
    <t>纽约州</t>
  </si>
  <si>
    <t>New York</t>
  </si>
  <si>
    <t>奥尔巴尼</t>
  </si>
  <si>
    <t>阿曼</t>
  </si>
  <si>
    <t>OM</t>
  </si>
  <si>
    <t>华东SHEIN专线(不包税)</t>
  </si>
  <si>
    <t>AMAZON-ABE5</t>
  </si>
  <si>
    <t>6455 Allentown Boulevard Harrisburg PA 17112,USA</t>
  </si>
  <si>
    <t>NC</t>
  </si>
  <si>
    <t>北卡罗来纳州</t>
  </si>
  <si>
    <t>North Carolina</t>
  </si>
  <si>
    <t>罗利</t>
  </si>
  <si>
    <t>巴基斯坦</t>
  </si>
  <si>
    <t>PK</t>
  </si>
  <si>
    <t>华南SHEIN专线(不包税)</t>
  </si>
  <si>
    <t>AMAZON-ABE4</t>
  </si>
  <si>
    <t>1610 Van Buren Road Easton PA 18045,USA</t>
  </si>
  <si>
    <t>ND</t>
  </si>
  <si>
    <t>北达科他州</t>
  </si>
  <si>
    <t>North Dakota</t>
  </si>
  <si>
    <t>俾斯麦</t>
  </si>
  <si>
    <t>巴勒斯坦</t>
  </si>
  <si>
    <t>PS</t>
  </si>
  <si>
    <t>华南SHEIN快线(不包税)</t>
  </si>
  <si>
    <t>AMAZON-ABE3</t>
  </si>
  <si>
    <t>650 Boulder Drive Breinigsville PA 18031,USA</t>
  </si>
  <si>
    <t>OH</t>
  </si>
  <si>
    <t>俄亥俄州</t>
  </si>
  <si>
    <t>Ohio</t>
  </si>
  <si>
    <t>哥伦布</t>
  </si>
  <si>
    <t>菲律宾</t>
  </si>
  <si>
    <t>PH</t>
  </si>
  <si>
    <t>华东纽速达[Z2](立方包税)</t>
  </si>
  <si>
    <t>AMAZON-ONT6</t>
  </si>
  <si>
    <t>24208 San Michele Rd. Moreno Valley CA 92551,USA</t>
  </si>
  <si>
    <t>OK</t>
  </si>
  <si>
    <t>俄克拉荷马州</t>
  </si>
  <si>
    <t>Oklahoma</t>
  </si>
  <si>
    <t>俄克拉荷马城</t>
  </si>
  <si>
    <t>卡塔尔</t>
  </si>
  <si>
    <t>QA</t>
  </si>
  <si>
    <t>华东纽速达[Z2](不包税)</t>
  </si>
  <si>
    <t>AMAZON-ABE2</t>
  </si>
  <si>
    <t>705 Boulder Drive Breinigsville PA 18031,USA</t>
  </si>
  <si>
    <t>OR</t>
  </si>
  <si>
    <t>俄勒冈州</t>
  </si>
  <si>
    <t>Oregon</t>
  </si>
  <si>
    <t>塞勒姆</t>
  </si>
  <si>
    <t>沙特阿拉伯</t>
  </si>
  <si>
    <t>SA</t>
  </si>
  <si>
    <t>华东纽速达[Z2](包税)</t>
  </si>
  <si>
    <t>AMAZON-CMH2</t>
  </si>
  <si>
    <t>6050 Gateway Court Groveport OH 43125,USA</t>
  </si>
  <si>
    <t>PA</t>
  </si>
  <si>
    <t>宾夕法尼亚州</t>
  </si>
  <si>
    <t>Pennsylvania</t>
  </si>
  <si>
    <t>哈里斯堡</t>
  </si>
  <si>
    <t>新加坡</t>
  </si>
  <si>
    <t>SG</t>
  </si>
  <si>
    <t>华东纽速达[Z4](立方包税)</t>
  </si>
  <si>
    <t>AMAZON-ONT8</t>
  </si>
  <si>
    <t>24300 Nandina Ave. Moreno Valley CA 92551,USA</t>
  </si>
  <si>
    <t>RI</t>
  </si>
  <si>
    <t>罗德岛州</t>
  </si>
  <si>
    <t>Rhode Island</t>
  </si>
  <si>
    <t>普罗维登斯</t>
  </si>
  <si>
    <t>韩国</t>
  </si>
  <si>
    <t>KR</t>
  </si>
  <si>
    <t>华东纽速达[Z4](不包税)</t>
  </si>
  <si>
    <t>AMAZON-CMH1</t>
  </si>
  <si>
    <t>11903 National Road SW Etna OH 43062,USA</t>
  </si>
  <si>
    <t>SC</t>
  </si>
  <si>
    <t>南卡罗来纳州</t>
  </si>
  <si>
    <t>South Carolina</t>
  </si>
  <si>
    <t>哥伦比亚</t>
  </si>
  <si>
    <t>斯里兰卡</t>
  </si>
  <si>
    <t>LK</t>
  </si>
  <si>
    <t>华东纽速达[Z4](包税)</t>
  </si>
  <si>
    <t>AMAZON-HTX2</t>
  </si>
  <si>
    <t>4221 Way Out West Drive Houston TX 77092,USA</t>
  </si>
  <si>
    <t>SD</t>
  </si>
  <si>
    <t>南达科他州</t>
  </si>
  <si>
    <t>South Dakota</t>
  </si>
  <si>
    <t>皮尔</t>
  </si>
  <si>
    <t>叙利亚</t>
  </si>
  <si>
    <t>SY</t>
  </si>
  <si>
    <t>华南纽速达(包税)</t>
  </si>
  <si>
    <t>AMAZON-ONT9</t>
  </si>
  <si>
    <t>2125 W. San Bernardino Ave. Redlands CA 92374,USA</t>
  </si>
  <si>
    <t>TN</t>
  </si>
  <si>
    <t>田纳西州</t>
  </si>
  <si>
    <t>Tennessee</t>
  </si>
  <si>
    <t>纳什维尔</t>
  </si>
  <si>
    <t>泰国</t>
  </si>
  <si>
    <t>TH</t>
  </si>
  <si>
    <t>华南纽速达(不包税)</t>
  </si>
  <si>
    <t>AMAZON-EWR9</t>
  </si>
  <si>
    <t>8003 Industrial Ave Carteret NJ 07008,USA</t>
  </si>
  <si>
    <t>TX</t>
  </si>
  <si>
    <t>得克萨斯州</t>
  </si>
  <si>
    <t>Texas</t>
  </si>
  <si>
    <t>奥斯汀</t>
  </si>
  <si>
    <t>土耳其</t>
  </si>
  <si>
    <t>TR</t>
  </si>
  <si>
    <t>华南纽速达(立方包税)</t>
  </si>
  <si>
    <t>AMAZON-EWR7</t>
  </si>
  <si>
    <t>275 Omar Avenue Avenel NJ 07001,USA</t>
  </si>
  <si>
    <t>UT</t>
  </si>
  <si>
    <t>犹他州</t>
  </si>
  <si>
    <t>Utah</t>
  </si>
  <si>
    <t>盐湖城</t>
  </si>
  <si>
    <t>阿联酋</t>
  </si>
  <si>
    <t>AE</t>
  </si>
  <si>
    <t>赤道美东华南普船专线(包税)</t>
  </si>
  <si>
    <t>AMAZON-EWR6</t>
  </si>
  <si>
    <t>VT</t>
  </si>
  <si>
    <t>佛蒙特州</t>
  </si>
  <si>
    <t>Vermont</t>
  </si>
  <si>
    <t>蒙彼利埃</t>
  </si>
  <si>
    <t>也门</t>
  </si>
  <si>
    <t>YE</t>
  </si>
  <si>
    <t>赤道美东华南普船专线(不包税)</t>
  </si>
  <si>
    <t>AMAZON-EWR4</t>
  </si>
  <si>
    <t>50 New Canton Way Robbinsville NJ 08691,USA</t>
  </si>
  <si>
    <t>VA</t>
  </si>
  <si>
    <t>弗吉尼亚州</t>
  </si>
  <si>
    <t>Virginia</t>
  </si>
  <si>
    <t>里士满</t>
  </si>
  <si>
    <t>越南</t>
  </si>
  <si>
    <t>VN</t>
  </si>
  <si>
    <t>赤道美东华南普船专线(立方包税)</t>
  </si>
  <si>
    <t>AMAZON-ABE8</t>
  </si>
  <si>
    <t>401 INDEPENDENCE ROAD Florence NJ 08518,USA</t>
  </si>
  <si>
    <t>WA</t>
  </si>
  <si>
    <t>华盛顿州</t>
  </si>
  <si>
    <t>Washington</t>
  </si>
  <si>
    <t>奥林匹亚</t>
  </si>
  <si>
    <t>台澎金马关税区</t>
  </si>
  <si>
    <t>TW</t>
  </si>
  <si>
    <t>赤道美东华东普船专线(包税)</t>
  </si>
  <si>
    <t>AMAZON-BOS1</t>
  </si>
  <si>
    <t>10 State Street Nashua NH 03063,USA</t>
  </si>
  <si>
    <t>WV</t>
  </si>
  <si>
    <t>西弗吉尼亚州</t>
  </si>
  <si>
    <t>West Virginia</t>
  </si>
  <si>
    <t>查尔斯顿</t>
  </si>
  <si>
    <t>东帝汶</t>
  </si>
  <si>
    <t>TL</t>
  </si>
  <si>
    <t>赤道美东华东普船专线(不包税)</t>
  </si>
  <si>
    <t>AMAZON-CLT5</t>
  </si>
  <si>
    <t>7035 Northwinds Drive Concord NC 28027,USA</t>
  </si>
  <si>
    <t>WI</t>
  </si>
  <si>
    <t>威斯康星州</t>
  </si>
  <si>
    <t>Wisconsin</t>
  </si>
  <si>
    <t>麦迪逊</t>
  </si>
  <si>
    <t>哈萨克斯坦</t>
  </si>
  <si>
    <t>KZ</t>
  </si>
  <si>
    <t>赤道美东华东普船专线(立方包税)</t>
  </si>
  <si>
    <t>AMAZON-CLT2</t>
  </si>
  <si>
    <t>10240 Old Dowd Rd Charlotte NC 28214,USA</t>
  </si>
  <si>
    <t>WY</t>
  </si>
  <si>
    <t>怀俄明州</t>
  </si>
  <si>
    <t>Wyoming</t>
  </si>
  <si>
    <t>夏延</t>
  </si>
  <si>
    <t>吉尔吉斯斯坦</t>
  </si>
  <si>
    <t>KG</t>
  </si>
  <si>
    <t>华东普船CA 30(包税)</t>
  </si>
  <si>
    <t>AMAZON-ORD6</t>
  </si>
  <si>
    <t>1250 N Mittel Blvd Wood Dale IL 60191,USA</t>
  </si>
  <si>
    <t>塔吉克斯坦</t>
  </si>
  <si>
    <t>TJ</t>
  </si>
  <si>
    <t>华东普船CA 30(不包税)</t>
  </si>
  <si>
    <t>AMAZON-MSP1</t>
  </si>
  <si>
    <t>2601 4th Avenue East Shakopee MN 55379,USA</t>
  </si>
  <si>
    <t>土库曼斯坦</t>
  </si>
  <si>
    <t>TM</t>
  </si>
  <si>
    <t>华东普船CA 30(立方包税)</t>
  </si>
  <si>
    <t>AMAZON-BWI6</t>
  </si>
  <si>
    <t>5617 Industrial Dr Springfield VA 22151,USA</t>
  </si>
  <si>
    <t>乌兹别克斯坦</t>
  </si>
  <si>
    <t>UZ</t>
  </si>
  <si>
    <t>华南普船CA 30(包税)</t>
  </si>
  <si>
    <t>AMAZON-BWI5</t>
  </si>
  <si>
    <t>5001 Holabird Ave Baltimore MD 21224,USA</t>
  </si>
  <si>
    <t>阿尔及利亚</t>
  </si>
  <si>
    <t>DZ</t>
  </si>
  <si>
    <t>华南普船CA 30(不包税)</t>
  </si>
  <si>
    <t>AMAZON-BWI2</t>
  </si>
  <si>
    <t>2010 Broening Highway Baltimore MD 21224,USA</t>
  </si>
  <si>
    <t>安哥拉</t>
  </si>
  <si>
    <t>AO</t>
  </si>
  <si>
    <t>华南普船CA 30(立方包税)</t>
  </si>
  <si>
    <t>AMAZON-BWI1</t>
  </si>
  <si>
    <t>贝宁</t>
  </si>
  <si>
    <t>BJ</t>
  </si>
  <si>
    <t>华东普船CA 37[Z2](包税)</t>
  </si>
  <si>
    <t>AMAZON-BOS7</t>
  </si>
  <si>
    <t>1180 Innovation Way Fall River MA 02720,USA</t>
  </si>
  <si>
    <t>博茨瓦纳</t>
  </si>
  <si>
    <t>BW</t>
  </si>
  <si>
    <t>华东普船CA 37[Z2](不包税)</t>
  </si>
  <si>
    <t>AMAZON-BOS5</t>
  </si>
  <si>
    <t>1000 Tech Center Drive Stoughton MA 02072,USA</t>
  </si>
  <si>
    <t>布隆迪</t>
  </si>
  <si>
    <t>BI</t>
  </si>
  <si>
    <t>华东普船CA 37[Z2](立方包税)</t>
  </si>
  <si>
    <t>AMAZON-SDF9</t>
  </si>
  <si>
    <t>Thomas P. Echols Lane Shepherdsville KY 40165,USA</t>
  </si>
  <si>
    <t>喀麦隆</t>
  </si>
  <si>
    <t>CM</t>
  </si>
  <si>
    <t>华东普船CA 37[Z7](包税)</t>
  </si>
  <si>
    <t>AMAZON-SDF7</t>
  </si>
  <si>
    <t>300 Omicron Court Shepherdsville KY 40165,USA</t>
  </si>
  <si>
    <t>佛得角</t>
  </si>
  <si>
    <t>CV</t>
  </si>
  <si>
    <t>华东普船CA 37[Z7](不包税)</t>
  </si>
  <si>
    <t>AMAZON-UTX5</t>
  </si>
  <si>
    <t>4848 Perrin Creek #680 San Antonio TX 78217,USA</t>
  </si>
  <si>
    <t>中非</t>
  </si>
  <si>
    <t>CF</t>
  </si>
  <si>
    <t>华东普船CA 37[Z7](立方包税)</t>
  </si>
  <si>
    <t>AMAZON-UVA1</t>
  </si>
  <si>
    <t>5617 Industrial Dr. Springfiled,VA 22151,USA</t>
  </si>
  <si>
    <t>乍得</t>
  </si>
  <si>
    <t>TD</t>
  </si>
  <si>
    <t>华南普船CA 37(包税)</t>
  </si>
  <si>
    <t>AMAZON-UOR1</t>
  </si>
  <si>
    <t>2250 NW 22nd Ave, Portland OR 97210,USA</t>
  </si>
  <si>
    <t>科摩罗</t>
  </si>
  <si>
    <t>KM</t>
  </si>
  <si>
    <t>华南普船CA 37(不包税)</t>
  </si>
  <si>
    <t>AMAZON-UNC2</t>
  </si>
  <si>
    <t>1590 Wolfpack Ln Raleigh NC 27609,USA</t>
  </si>
  <si>
    <t>刚果(布)</t>
  </si>
  <si>
    <t>CG</t>
  </si>
  <si>
    <t>华南普船CA 37(立方包税)</t>
  </si>
  <si>
    <t>AMAZON-USA9</t>
  </si>
  <si>
    <t>2934 Ramona Ave Sacramento CA 95826,USA</t>
  </si>
  <si>
    <t>吉布提</t>
  </si>
  <si>
    <t>DJ</t>
  </si>
  <si>
    <t>华东CA特惠专线[Z4](包税)</t>
  </si>
  <si>
    <t>AMAZON-UAZ1</t>
  </si>
  <si>
    <t>500 S 48th St Phoenix AZ 85034,USA</t>
  </si>
  <si>
    <t>埃及</t>
  </si>
  <si>
    <t>EG</t>
  </si>
  <si>
    <t>华东CA特惠专线[Z4](不包税)</t>
  </si>
  <si>
    <t>AMAZON-SDF6</t>
  </si>
  <si>
    <t>271 Omega Pkwy Shepherdsville KY 40165,USA</t>
  </si>
  <si>
    <t>赤道几内亚</t>
  </si>
  <si>
    <t>GQ</t>
  </si>
  <si>
    <t>华东CA特惠专线[Z4](立方包税)</t>
  </si>
  <si>
    <t>AMAZON-SDF4</t>
  </si>
  <si>
    <t>376 Zappos.com Blvd. Shepherdsville KY 40165,USA</t>
  </si>
  <si>
    <t>埃塞俄比亚</t>
  </si>
  <si>
    <t>ET</t>
  </si>
  <si>
    <t>华南CA特惠专线(包税)</t>
  </si>
  <si>
    <t>AMAZON-SDF2</t>
  </si>
  <si>
    <t>4360 Robards Ln. Louisville KY 40218,USA</t>
  </si>
  <si>
    <t>加蓬</t>
  </si>
  <si>
    <t>华南CA特惠专线(不包税)</t>
  </si>
  <si>
    <t>AMAZON-SDF1</t>
  </si>
  <si>
    <t>1108 S Columbia Ave. Campbellsville KY 42718,USA</t>
  </si>
  <si>
    <t>冈比亚</t>
  </si>
  <si>
    <t>GM</t>
  </si>
  <si>
    <t>华南CA特惠专线(立方包税)</t>
  </si>
  <si>
    <t>AMAZON-HCA6</t>
  </si>
  <si>
    <t>2727 Kurtz St, San Diego CA 92110,USA</t>
  </si>
  <si>
    <t>加纳</t>
  </si>
  <si>
    <t>GH</t>
  </si>
  <si>
    <t>华东普船CHI专线(包税)</t>
  </si>
  <si>
    <t>AMAZON-LEX2</t>
  </si>
  <si>
    <t>172 Trade St Lexington KY 40511,USA</t>
  </si>
  <si>
    <t>几内亚</t>
  </si>
  <si>
    <t>GN</t>
  </si>
  <si>
    <t>华东普船CHI专线(不包税)</t>
  </si>
  <si>
    <t>AMAZON-HIL2</t>
  </si>
  <si>
    <t>1111 North Cherry Ave Chicago IL 60642,USA</t>
  </si>
  <si>
    <t>几内亚比绍</t>
  </si>
  <si>
    <t>GW</t>
  </si>
  <si>
    <t>华东普船CHI专线(立方包税)</t>
  </si>
  <si>
    <t>AMAZON-LEX1</t>
  </si>
  <si>
    <t>1850 Mercer Rd Lexington KY 40511,USA</t>
  </si>
  <si>
    <t>科特迪瓦</t>
  </si>
  <si>
    <t>CI</t>
  </si>
  <si>
    <t>华南普船CHI专线(包税)</t>
  </si>
  <si>
    <t>AMAZON-IVSA</t>
  </si>
  <si>
    <t>4620 Olympic Blvd Erlanger KY 41018,USA</t>
  </si>
  <si>
    <t>肯尼亚</t>
  </si>
  <si>
    <t>KE</t>
  </si>
  <si>
    <t>华南普船CHI专线(不包税)</t>
  </si>
  <si>
    <t>AMAZON-DAL6</t>
  </si>
  <si>
    <t>4601 Gold Spike Drive Fort Worth TX 76106,USA</t>
  </si>
  <si>
    <t>利比里亚</t>
  </si>
  <si>
    <t>LR</t>
  </si>
  <si>
    <t>华南普船CHI专线(立方包税)</t>
  </si>
  <si>
    <t>AMAZON-DEN2</t>
  </si>
  <si>
    <t>22205 E. 19th Ave Aurora CO 80019,USA</t>
  </si>
  <si>
    <t>利比亚</t>
  </si>
  <si>
    <t>LY</t>
  </si>
  <si>
    <t>华东奥普专线(包税)</t>
  </si>
  <si>
    <t>AMAZON-DEN6</t>
  </si>
  <si>
    <t>480 East 55th Avenue Denver CO 80216,USA</t>
  </si>
  <si>
    <t>马达加斯加</t>
  </si>
  <si>
    <t>MG</t>
  </si>
  <si>
    <t>华东奥普专线(不包税)</t>
  </si>
  <si>
    <t>AMAZON-CVG7</t>
  </si>
  <si>
    <t>2285 Litton Lane Hebron KY 41048,USA</t>
  </si>
  <si>
    <t>马拉维</t>
  </si>
  <si>
    <t>MW</t>
  </si>
  <si>
    <t>华东奥普专线(立方包税)</t>
  </si>
  <si>
    <t>AMAZON-CVG5</t>
  </si>
  <si>
    <t>马里</t>
  </si>
  <si>
    <t>ML</t>
  </si>
  <si>
    <t>华南奥普专线(包税)</t>
  </si>
  <si>
    <t>AMAZON-CVG3</t>
  </si>
  <si>
    <t>3680 Langley Dr. Hebron KY 41048,USA</t>
  </si>
  <si>
    <t>毛里塔尼亚</t>
  </si>
  <si>
    <t>MR</t>
  </si>
  <si>
    <t>华南奥普专线(不包税)</t>
  </si>
  <si>
    <t>AMAZON-CVG2</t>
  </si>
  <si>
    <t>1600 Worldwide Blvd. Hebron KY 41048,USA</t>
  </si>
  <si>
    <t>毛里求斯</t>
  </si>
  <si>
    <t>MU</t>
  </si>
  <si>
    <t>华南奥普专线(立方包税)</t>
  </si>
  <si>
    <t>AMAZON-CVG1</t>
  </si>
  <si>
    <t>1155 Worldwide Blvd. Hebron KY 41048,USA</t>
  </si>
  <si>
    <t>摩洛哥</t>
  </si>
  <si>
    <t>华东美东超级专仓专线(包税)</t>
  </si>
  <si>
    <t>AMAZON-XUSE</t>
  </si>
  <si>
    <t>5490 Industrial Court Whitestown IN 46075,USA</t>
  </si>
  <si>
    <t>莫桑比克</t>
  </si>
  <si>
    <t>MZ</t>
  </si>
  <si>
    <t>华东美东超级专仓专线(不包税)</t>
  </si>
  <si>
    <t>AMAZON-XUSJ</t>
  </si>
  <si>
    <t>1590 Tamarind Ave Rialto CA 92376,USA</t>
  </si>
  <si>
    <t>纳米比亚</t>
  </si>
  <si>
    <t>NA</t>
  </si>
  <si>
    <t>华东美东超级专仓专线(立方包税)</t>
  </si>
  <si>
    <t>AMAZON-XUSK</t>
  </si>
  <si>
    <t>31450 W 196th Street Edgerton KS 66030,USA</t>
  </si>
  <si>
    <t>尼日尔</t>
  </si>
  <si>
    <t>华南美东超级专仓专线(包税)</t>
  </si>
  <si>
    <t>AMAZON-XUSM</t>
  </si>
  <si>
    <t>610 Chelsea Rd Aberdeen MD 21001,USA</t>
  </si>
  <si>
    <t>尼日利亚</t>
  </si>
  <si>
    <t>NG</t>
  </si>
  <si>
    <t>华南美东超级专仓专线(不包税)</t>
  </si>
  <si>
    <t>AMAZON-XUSO</t>
  </si>
  <si>
    <t>657 West Nance Street Perris CA 92571,USA</t>
  </si>
  <si>
    <t>留尼汪</t>
  </si>
  <si>
    <t>RE</t>
  </si>
  <si>
    <t>华南美东超级专仓专线(立方包税)</t>
  </si>
  <si>
    <t>AMAZON-XSP1</t>
  </si>
  <si>
    <t>1117 Vaughn Parkway Portland TN 37148,USA</t>
  </si>
  <si>
    <t>卢旺达</t>
  </si>
  <si>
    <t>RW</t>
  </si>
  <si>
    <t>华东HOU专线(包税)</t>
  </si>
  <si>
    <t>AMAZON-XUSF</t>
  </si>
  <si>
    <t>901 West Landstreet Road Orlando FL 32834,USA</t>
  </si>
  <si>
    <t>圣多美和普林西比</t>
  </si>
  <si>
    <t>ST</t>
  </si>
  <si>
    <t>华南HOU专线(包税)</t>
  </si>
  <si>
    <t>AMAZON-XUSH</t>
  </si>
  <si>
    <t>7037 West Van Buren Street Phoenix IN 85043,USA</t>
  </si>
  <si>
    <t>塞内加尔</t>
  </si>
  <si>
    <t>SN</t>
  </si>
  <si>
    <t>华南HOU专线(不包税)</t>
  </si>
  <si>
    <t>AMAZON-LAX6</t>
  </si>
  <si>
    <t>5119 District Blvd Vernon CA 90058,USA</t>
  </si>
  <si>
    <t>塞舌尔</t>
  </si>
  <si>
    <t>华南HOU专线(立方包税)</t>
  </si>
  <si>
    <t>AMAZON-MCI7</t>
  </si>
  <si>
    <t>27200 W 157th Street New Century KS 66031,USA</t>
  </si>
  <si>
    <t>塞拉利昂</t>
  </si>
  <si>
    <t>SL</t>
  </si>
  <si>
    <t>华东HOU专线(不包税)</t>
  </si>
  <si>
    <t>AMAZON-MIA6</t>
  </si>
  <si>
    <t>3200 NW 67th Ave, Miam FL 33122,USA</t>
  </si>
  <si>
    <t>索马里</t>
  </si>
  <si>
    <t>SO</t>
  </si>
  <si>
    <t>华东HOU专线(立方包税)</t>
  </si>
  <si>
    <t>AMAZON-MGE3</t>
  </si>
  <si>
    <t>808 Hog Mountain road Jefferson GA 30549,USA</t>
  </si>
  <si>
    <t>南非</t>
  </si>
  <si>
    <t>ZA</t>
  </si>
  <si>
    <t>华东普船SAV专线(包税)</t>
  </si>
  <si>
    <t>AMAZON-LGB4</t>
  </si>
  <si>
    <t>27517 W Pioneer Ave Redlands CA 92374,USA</t>
  </si>
  <si>
    <t>西撒哈拉</t>
  </si>
  <si>
    <t>EH</t>
  </si>
  <si>
    <t>华东普船SAV专线(不包税)</t>
  </si>
  <si>
    <t>AMAZON-LGB8</t>
  </si>
  <si>
    <t>1568 N Linden Ave Rialto CA 92376,USA</t>
  </si>
  <si>
    <t>苏丹</t>
  </si>
  <si>
    <t>华东普船SAV专线(立方包税)</t>
  </si>
  <si>
    <t>AMAZON-LAS6</t>
  </si>
  <si>
    <t>4550 Nexus Way Las Vegas NV 89115,USA</t>
  </si>
  <si>
    <t>坦桑尼亚</t>
  </si>
  <si>
    <t>TZ</t>
  </si>
  <si>
    <t>华南普船SAV专线(包税)</t>
  </si>
  <si>
    <t>AMAZON-JAX3</t>
  </si>
  <si>
    <t>13333 103rd Street Jacksonville,FL 32210,USA</t>
  </si>
  <si>
    <t>多哥</t>
  </si>
  <si>
    <t>TG</t>
  </si>
  <si>
    <t>华南普船SAV专线(不包税)</t>
  </si>
  <si>
    <t>AMAZON-JAX2</t>
  </si>
  <si>
    <t>12900 Pecan Park Road Jacksonville FL 32218,USA</t>
  </si>
  <si>
    <t>突尼斯</t>
  </si>
  <si>
    <t>华南普船SAV专线(立方包税)</t>
  </si>
  <si>
    <t>AMAZON-SDF8</t>
  </si>
  <si>
    <t>900 Patrol Rd. Jeffersonville IN 47130,USA</t>
  </si>
  <si>
    <t>乌干达</t>
  </si>
  <si>
    <t>UG</t>
  </si>
  <si>
    <t>华东普船海派</t>
  </si>
  <si>
    <t>AMAZON-IND5</t>
  </si>
  <si>
    <t>800 Perry Road. Plainfield IN 46168,USA</t>
  </si>
  <si>
    <t>布基纳法索</t>
  </si>
  <si>
    <t>BF</t>
  </si>
  <si>
    <t>华南普船海派</t>
  </si>
  <si>
    <t>AMAZON-IND4</t>
  </si>
  <si>
    <t>710 S. Girls School Rd. Indianapolis IN 46231,USA</t>
  </si>
  <si>
    <t>刚果(金)</t>
  </si>
  <si>
    <t>CD</t>
  </si>
  <si>
    <t>华东美东海铁快线(包税)</t>
  </si>
  <si>
    <t>AMAZON-IND3亚</t>
  </si>
  <si>
    <t>717 Airtech Pkwy Plainfield IN 46168,USA</t>
  </si>
  <si>
    <t>赞比亚</t>
  </si>
  <si>
    <t>ZM</t>
  </si>
  <si>
    <t>华东美东海铁快线(不包税)</t>
  </si>
  <si>
    <t>AMAZON-IND2亚</t>
  </si>
  <si>
    <t>715 Airtech Pkwy Plainfield IN 46168,USA</t>
  </si>
  <si>
    <t>津巴布韦</t>
  </si>
  <si>
    <t>ZW</t>
  </si>
  <si>
    <t>华东美东海铁快线(立方包税)</t>
  </si>
  <si>
    <t>AMAZON-IND1亚</t>
  </si>
  <si>
    <t>4255 Anson Blvd. Whitestown IN 46075,USA</t>
  </si>
  <si>
    <t>莱索托</t>
  </si>
  <si>
    <t>LS</t>
  </si>
  <si>
    <t>华南美东海铁快线(包税)</t>
  </si>
  <si>
    <t>AMAZON-STL7</t>
  </si>
  <si>
    <t>3931 Lakeview Corporate Drive. Edwardsville IL 62025,USA</t>
  </si>
  <si>
    <t>斯威士兰</t>
  </si>
  <si>
    <t>SZ</t>
  </si>
  <si>
    <t>华南美东海铁快线(不包税)</t>
  </si>
  <si>
    <t>AMAZON-STL6</t>
  </si>
  <si>
    <t>厄立特里亚</t>
  </si>
  <si>
    <t>ER</t>
  </si>
  <si>
    <t>华南美东海铁快线(立方包税)</t>
  </si>
  <si>
    <t>AMAZON-STL4</t>
  </si>
  <si>
    <t>3050 Gateway Commerce Center Dr S.  Edwardsville  IL 62025,USA</t>
  </si>
  <si>
    <t>马约特</t>
  </si>
  <si>
    <t>YT</t>
  </si>
  <si>
    <t>华东美西普船大货中转(包税)</t>
  </si>
  <si>
    <t>AMAZON-TEB3</t>
  </si>
  <si>
    <t>2651 Oldmans Creek Rd,Swedesboro NJ 08085,USA</t>
  </si>
  <si>
    <t>南苏丹共和国</t>
  </si>
  <si>
    <t>华东美西普船大货中转(不包税)</t>
  </si>
  <si>
    <t>AMAZON-TEB6</t>
  </si>
  <si>
    <t>22 Highstown Cranbury State Road  Cranbury NJ 08512,USA</t>
  </si>
  <si>
    <t>比利时</t>
  </si>
  <si>
    <t>BE</t>
  </si>
  <si>
    <t>华东美西普船大货中转(立方包税)</t>
  </si>
  <si>
    <t>AMAZON-MDW8</t>
  </si>
  <si>
    <t>1750 Bridge Drive, Waukegan IL 60085,USA</t>
  </si>
  <si>
    <t>丹麦</t>
  </si>
  <si>
    <t>DK</t>
  </si>
  <si>
    <t>华南美西普船大货中转(包税)</t>
  </si>
  <si>
    <t>AMAZON-MDW7</t>
  </si>
  <si>
    <t>6605 W.Manhattan Rd Monee IL  60449,USA</t>
  </si>
  <si>
    <t>爱尔兰</t>
  </si>
  <si>
    <t>IE</t>
  </si>
  <si>
    <t>华南美西普船大货中转(不包税)</t>
  </si>
  <si>
    <t>AMAZON-MDW6</t>
  </si>
  <si>
    <t>1125 W Remington Blvd. Romeoville  IL 60446,USA</t>
  </si>
  <si>
    <t>意大利</t>
  </si>
  <si>
    <t>IT</t>
  </si>
  <si>
    <t>华南美西普船大货中转(立方包税)</t>
  </si>
  <si>
    <t>AMAZON-MDW4</t>
  </si>
  <si>
    <t>201 Emerald Drive Joliet IL 60433,USA</t>
  </si>
  <si>
    <t>卢森堡</t>
  </si>
  <si>
    <t>LU</t>
  </si>
  <si>
    <t>AMAZON-MDW2</t>
  </si>
  <si>
    <t>250 EMERALD DR.,JOLIET,IL 60433,USA</t>
  </si>
  <si>
    <t>荷兰</t>
  </si>
  <si>
    <t>NL</t>
  </si>
  <si>
    <t>AMAZON-MGE1</t>
  </si>
  <si>
    <t>650 Broadway Ave. Braselton GA 30517,USA</t>
  </si>
  <si>
    <t>希腊</t>
  </si>
  <si>
    <t>GR</t>
  </si>
  <si>
    <t>加拿大大货中转(包税)</t>
  </si>
  <si>
    <t>AMAZON-ATL9</t>
  </si>
  <si>
    <t>2232 Northmont Parkway Duluth GA 30096,USA</t>
  </si>
  <si>
    <t>葡萄牙</t>
  </si>
  <si>
    <t>PT</t>
  </si>
  <si>
    <t>加拿大大货中转(不包税)</t>
  </si>
  <si>
    <t>AMAZON-ATL8</t>
  </si>
  <si>
    <t>2201 Thornton Rd. Lithia Springs GA 30122,USA</t>
  </si>
  <si>
    <t>西班牙</t>
  </si>
  <si>
    <t>ES</t>
  </si>
  <si>
    <t>加拿大大货中转(立方包税)</t>
  </si>
  <si>
    <t>AMAZON-ATL7</t>
  </si>
  <si>
    <t>6855 Shannon Pkwy. Union City GA 30291,USA</t>
  </si>
  <si>
    <t>阿尔巴尼亚</t>
  </si>
  <si>
    <t>欧洲海运-BS-快递派</t>
  </si>
  <si>
    <t>AMAZON-ATL6</t>
  </si>
  <si>
    <t>4200 North Commerce. East Point GA 30344,USA</t>
  </si>
  <si>
    <t>安道尔</t>
  </si>
  <si>
    <t>AD</t>
  </si>
  <si>
    <t>AMAZON-MIA5</t>
  </si>
  <si>
    <t>1900 NW 132nd Place. Miami FL 33182,USA</t>
  </si>
  <si>
    <t>奥地利</t>
  </si>
  <si>
    <t>AT</t>
  </si>
  <si>
    <t>欧洲海运-BS-FBA直送</t>
  </si>
  <si>
    <t>AMAZON-TPA1</t>
  </si>
  <si>
    <t>3350 Laurel Ridge Ave. Ruskin FL 33570,USA</t>
  </si>
  <si>
    <t>保加利亚</t>
  </si>
  <si>
    <t>BG</t>
  </si>
  <si>
    <t>欧洲海运-ZS-卡派-CBM</t>
  </si>
  <si>
    <t>AMAZON-TPA2</t>
  </si>
  <si>
    <t>1760 County Line Rd. Lakeland FL 33811,USA</t>
  </si>
  <si>
    <t>芬兰</t>
  </si>
  <si>
    <t>FI</t>
  </si>
  <si>
    <t>英国铁路-ZS-卡派-CBM</t>
  </si>
  <si>
    <t>AMAZON-MCO5</t>
  </si>
  <si>
    <t>205 Deen Still Rd. Davenport FL 33897,USA</t>
  </si>
  <si>
    <t>直布罗陀</t>
  </si>
  <si>
    <t>GI</t>
  </si>
  <si>
    <t>英国铁路-BS-卡派-CBM</t>
  </si>
  <si>
    <t>AMAZON-VUKF</t>
  </si>
  <si>
    <t>18120 Bishop Ave Carson CA 90746,USA</t>
  </si>
  <si>
    <t>匈牙利</t>
  </si>
  <si>
    <t>HU</t>
  </si>
  <si>
    <t>英国铁路-BS-DPD</t>
  </si>
  <si>
    <t>AMAZON-VUKH</t>
  </si>
  <si>
    <t>1901 W Airfield Drive DFW Airport TX 75261,USA</t>
  </si>
  <si>
    <t>冰岛</t>
  </si>
  <si>
    <t>IS</t>
  </si>
  <si>
    <t>英国铁路-ZS-DPD</t>
  </si>
  <si>
    <t>AMAZON-VUTD</t>
  </si>
  <si>
    <t>8291 Milliken Ave Rancho Cucamonga CA 91730,USA</t>
  </si>
  <si>
    <t>列支敦士登</t>
  </si>
  <si>
    <t>LI</t>
  </si>
  <si>
    <t>英国海运-ZS-卡派-CBM</t>
  </si>
  <si>
    <t>AMAZON-VUKG</t>
  </si>
  <si>
    <t>3201 Centre Parkway East Point GA 30344,USA</t>
  </si>
  <si>
    <t>马耳他</t>
  </si>
  <si>
    <t>英国海运-BS-卡派-CBM</t>
  </si>
  <si>
    <t>AMAZON-VUKE</t>
  </si>
  <si>
    <t>2279 Center Square Blvd Swedesboro  NJ 08085,USA</t>
  </si>
  <si>
    <t>摩纳哥</t>
  </si>
  <si>
    <t>MC</t>
  </si>
  <si>
    <t>英国海运-BS-卡派-KG</t>
  </si>
  <si>
    <t>AMAZON-VUHB</t>
  </si>
  <si>
    <t>700 Chase Street Gary IN 46404,USA</t>
  </si>
  <si>
    <t>挪威</t>
  </si>
  <si>
    <t>NO</t>
  </si>
  <si>
    <t>英国海运-ZS-卡派-KG</t>
  </si>
  <si>
    <t>AMAZON-VUGE</t>
  </si>
  <si>
    <t>13537 Aurora Ave N Seattle CA 91752,USA</t>
  </si>
  <si>
    <t>波兰</t>
  </si>
  <si>
    <t>PL</t>
  </si>
  <si>
    <t>英国海运-BS-DPD</t>
  </si>
  <si>
    <t>AMAZON-UWA2</t>
  </si>
  <si>
    <t>11710 118th Ave Kirkland WA 98133,USA</t>
  </si>
  <si>
    <t>罗马尼亚</t>
  </si>
  <si>
    <t>RO</t>
  </si>
  <si>
    <t>英国海运-ZS-DPD</t>
  </si>
  <si>
    <t>AMAZON-UWA1</t>
  </si>
  <si>
    <t>5617 Industrial Dr. Springfiled VA 98034,USA</t>
  </si>
  <si>
    <t>圣马力诺</t>
  </si>
  <si>
    <t>SM</t>
  </si>
  <si>
    <t>中欧铁路-BS-FBA直送</t>
  </si>
  <si>
    <t>AMAZON-XBC1</t>
  </si>
  <si>
    <t>15750 Mountain Avs Chino CA 91708,USA</t>
  </si>
  <si>
    <t>瑞典</t>
  </si>
  <si>
    <t>SE</t>
  </si>
  <si>
    <t>中欧铁路-BS-快递派</t>
  </si>
  <si>
    <t>AMAZON-LAL1</t>
  </si>
  <si>
    <t>瑞士</t>
  </si>
  <si>
    <t>CH</t>
  </si>
  <si>
    <t>中欧铁路-BS-快递派 快线</t>
  </si>
  <si>
    <t>AMAZON-PHL8</t>
  </si>
  <si>
    <t>727 N. Broad St. Middletown DE 19709,USA</t>
  </si>
  <si>
    <t>爱沙尼亚</t>
  </si>
  <si>
    <t>EE</t>
  </si>
  <si>
    <t>海外仓储 美森(包税)</t>
  </si>
  <si>
    <t>AMAZON-PHL7</t>
  </si>
  <si>
    <t>560 Merrimac Ave. Middletown DE 19709,USA</t>
  </si>
  <si>
    <t>拉脱维亚</t>
  </si>
  <si>
    <t>LV</t>
  </si>
  <si>
    <t>海外仓储 美森(不包税)</t>
  </si>
  <si>
    <t>AMAZON-PHL3</t>
  </si>
  <si>
    <t>1600 Johnson Way. New Castle DE 19720,USA</t>
  </si>
  <si>
    <t>立陶宛</t>
  </si>
  <si>
    <t>LT</t>
  </si>
  <si>
    <t>海外仓储 美森(立方包税)</t>
  </si>
  <si>
    <t>AMAZON-PHL1</t>
  </si>
  <si>
    <t>1 Centerpoint Blvd. New Castle DE 19720,USA</t>
  </si>
  <si>
    <t>格鲁吉亚</t>
  </si>
  <si>
    <t>GE</t>
  </si>
  <si>
    <t>海外仓储/华东 普船(包税)</t>
  </si>
  <si>
    <t>AMAZON-BDL1</t>
  </si>
  <si>
    <t>801 Day Hill Rd. Windsor CT 06095,USA</t>
  </si>
  <si>
    <t>亚美尼亚</t>
  </si>
  <si>
    <t>AM</t>
  </si>
  <si>
    <t>海外仓储/华东 普船(不包税)</t>
  </si>
  <si>
    <t>AMAZON-SEA8</t>
  </si>
  <si>
    <t>1227 124th Avenue Northeast Bellevue WA 98005,USA</t>
  </si>
  <si>
    <t>阿塞拜疆</t>
  </si>
  <si>
    <t>海外仓储/华东 普船(立方包税)</t>
  </si>
  <si>
    <t>AMAZON-SEA6</t>
  </si>
  <si>
    <t>2646 Rainier Avenue South Bellevue WA 98144,USA</t>
  </si>
  <si>
    <t>白俄罗斯</t>
  </si>
  <si>
    <t>BY</t>
  </si>
  <si>
    <t>海外仓储/华南 普船(包税)</t>
  </si>
  <si>
    <t>AMAZON-BFL7</t>
  </si>
  <si>
    <t>1901 140th Ave E Sumner WA 98390,USA</t>
  </si>
  <si>
    <t>摩尔多瓦</t>
  </si>
  <si>
    <t>海外仓储/华南 普船(不包税)</t>
  </si>
  <si>
    <t>AMAZON-BFL6</t>
  </si>
  <si>
    <t>20280 84th Ave S Kent WA 98032,USA</t>
  </si>
  <si>
    <t>俄罗斯联邦</t>
  </si>
  <si>
    <t>RU</t>
  </si>
  <si>
    <t>海外仓储/华南 普船(立方包税)</t>
  </si>
  <si>
    <t>AMAZON-BFI4</t>
  </si>
  <si>
    <t>21005 64th Ave S Kent WA 98032,USA</t>
  </si>
  <si>
    <t>乌克兰</t>
  </si>
  <si>
    <t>UA</t>
  </si>
  <si>
    <t>海外仓储 纽速达(包税)</t>
  </si>
  <si>
    <t>AMAZON-BFI3</t>
  </si>
  <si>
    <t>2700 Center Drive DuPont WA 98327,USA</t>
  </si>
  <si>
    <t>塞尔维亚和黑山</t>
  </si>
  <si>
    <t>RS</t>
  </si>
  <si>
    <t>海外仓储 纽速达(不包税)</t>
  </si>
  <si>
    <t>AMAZON-BFI1</t>
  </si>
  <si>
    <t>1800 140th Avenue E. Sumner WA 98390,USA</t>
  </si>
  <si>
    <t>斯洛文尼亚</t>
  </si>
  <si>
    <t>SI</t>
  </si>
  <si>
    <t>海外仓储 纽速达(立方包税)</t>
  </si>
  <si>
    <t>AMAZON-HOU1</t>
  </si>
  <si>
    <t>8120 Humble Westfield Rd Humble TX 77338,USA</t>
  </si>
  <si>
    <t>克罗地亚</t>
  </si>
  <si>
    <t>HR</t>
  </si>
  <si>
    <t>海外仓自提 美森(包税)</t>
  </si>
  <si>
    <t>AMAZON-XUSB</t>
  </si>
  <si>
    <t>14900 Frye Rd Fort Worth TX 76155,USA</t>
  </si>
  <si>
    <t>捷克</t>
  </si>
  <si>
    <t>CZ</t>
  </si>
  <si>
    <t>海外仓自提 美森(不包税)</t>
  </si>
  <si>
    <t>AMAZON-FTW4</t>
  </si>
  <si>
    <t>15201 Heritage Parkway Fort Worth TX 76177,USA</t>
  </si>
  <si>
    <t>斯洛伐克</t>
  </si>
  <si>
    <t>SK</t>
  </si>
  <si>
    <t>海外仓自提 美森(立方包税)</t>
  </si>
  <si>
    <t>AMAZON-FTW3</t>
  </si>
  <si>
    <t>前南马其顿</t>
  </si>
  <si>
    <t>MK</t>
  </si>
  <si>
    <t>海外仓自提 美中美森卡派(包税)</t>
  </si>
  <si>
    <t>AMAZON-FTW2</t>
  </si>
  <si>
    <t>2701 West Bethel Road,Dallas,TX 75261,USA</t>
  </si>
  <si>
    <t>波黑</t>
  </si>
  <si>
    <t>BA</t>
  </si>
  <si>
    <t>海外仓自提 美中美森卡派(不包税)</t>
  </si>
  <si>
    <t>AMAZON-FTW1</t>
  </si>
  <si>
    <t>33333 LBJ FWY Dallas TX 75241,USA</t>
  </si>
  <si>
    <t>梵蒂冈城国</t>
  </si>
  <si>
    <t>海外仓自提 美东美森卡派(包税)</t>
  </si>
  <si>
    <t>AMAZON-SAT2</t>
  </si>
  <si>
    <t>1401 E McCarty Lane San Marcos,CA 78666,USA</t>
  </si>
  <si>
    <t>法罗群岛</t>
  </si>
  <si>
    <t>FO</t>
  </si>
  <si>
    <t>海外仓自提 美东美森卡派(不包税)</t>
  </si>
  <si>
    <t>AMAZON-SAT1</t>
  </si>
  <si>
    <t>6000 Enterprise Avenue Schertz TX 78154,USA</t>
  </si>
  <si>
    <t>塞尔维亚</t>
  </si>
  <si>
    <t>海外仓自提 美东美森卡派(立方包税)</t>
  </si>
  <si>
    <t>AMAZON-DFW9</t>
  </si>
  <si>
    <t>2700 Regent Boulevard,Irving TX 75063,USA</t>
  </si>
  <si>
    <t>黑山</t>
  </si>
  <si>
    <t>海外仓自提 全美自由行(包税)</t>
  </si>
  <si>
    <t>AMAZON-DFW8</t>
  </si>
  <si>
    <t>2700 Regent Blvd Dallas TX 75261,USA</t>
  </si>
  <si>
    <t>安提瓜和巴布达</t>
  </si>
  <si>
    <t>AG</t>
  </si>
  <si>
    <t>海外仓自提 全美自由行(不包税)</t>
  </si>
  <si>
    <t>AMAZON-DFW7</t>
  </si>
  <si>
    <t>700 Westport Parkway Fort Worth TX 76177,USA</t>
  </si>
  <si>
    <t>阿根廷</t>
  </si>
  <si>
    <t>海外仓自提 华东普船CHI专线(包税)</t>
  </si>
  <si>
    <t>AMAZON-DFW6</t>
  </si>
  <si>
    <t>940 W Bethel Road Coppell TX 75019,USA</t>
  </si>
  <si>
    <t>阿鲁巴</t>
  </si>
  <si>
    <t>AW</t>
  </si>
  <si>
    <t>海外仓自提 华东普船CHI专线(不包税)</t>
  </si>
  <si>
    <t>AMAZON-DFW1</t>
  </si>
  <si>
    <t>巴哈马</t>
  </si>
  <si>
    <t>BS</t>
  </si>
  <si>
    <t>海外仓自提 华南普船CHI专线(包税)</t>
  </si>
  <si>
    <t>AMAZON-RNO4</t>
  </si>
  <si>
    <t>8000 North Virginia Street Reno NV 89506,USA</t>
  </si>
  <si>
    <t>巴巴多斯</t>
  </si>
  <si>
    <t>BB</t>
  </si>
  <si>
    <t>海外仓自提 华南普船CHI专线(不包税)</t>
  </si>
  <si>
    <t>AMAZON-LAS2</t>
  </si>
  <si>
    <t>3837 Bay Lake Trail Las Vegas NV 89030,USA</t>
  </si>
  <si>
    <t>伯利兹</t>
  </si>
  <si>
    <t>BZ</t>
  </si>
  <si>
    <t>海外仓自提 华东赤道-HOU 35(包税)</t>
  </si>
  <si>
    <t>AMAZON-RNO2</t>
  </si>
  <si>
    <t>8000 North Virginia Street Reno NE 85906,USA</t>
  </si>
  <si>
    <t>多民族玻利维亚国</t>
  </si>
  <si>
    <t>BO</t>
  </si>
  <si>
    <t>海外仓自提 华东赤道-HOU 35(不包税)</t>
  </si>
  <si>
    <t>AMAZON-TUL1</t>
  </si>
  <si>
    <t>2654 North Highway 169 Coffeyville KS 67337,USA</t>
  </si>
  <si>
    <t>巴西</t>
  </si>
  <si>
    <t>BR</t>
  </si>
  <si>
    <t>海外仓自提 华东奥普(包税)</t>
  </si>
  <si>
    <t>AMAZON-MKC4</t>
  </si>
  <si>
    <t>19645 Waverly Rd. Edgerton KS 66021,USA</t>
  </si>
  <si>
    <t>开曼群岛</t>
  </si>
  <si>
    <t>海外仓自提 华东奥普(不包税)</t>
  </si>
  <si>
    <t>AMAZON-MCI5</t>
  </si>
  <si>
    <t>16851 W 113th St Lenexa KS 66219,USA</t>
  </si>
  <si>
    <t>智利</t>
  </si>
  <si>
    <t>CL</t>
  </si>
  <si>
    <t>海外仓自提 华东纽速达(包税)</t>
  </si>
  <si>
    <t>AMAZON-OAK5</t>
  </si>
  <si>
    <t>3822 Cherry Street Newark CA 94560,USA</t>
  </si>
  <si>
    <t>海外仓自提 华东纽速达(不包税)</t>
  </si>
  <si>
    <t>AMAZON-LAS1</t>
  </si>
  <si>
    <t>12300 Bermuda Road HENDERSON,NV 89044,USA</t>
  </si>
  <si>
    <t>多米尼克</t>
  </si>
  <si>
    <t>DM</t>
  </si>
  <si>
    <t>海外仓自提 华东纽速达(立方包税)</t>
  </si>
  <si>
    <t>AMAZON-SMF3</t>
  </si>
  <si>
    <t>3923 S B ST Stockton CA 95206,USA</t>
  </si>
  <si>
    <t>哥斯达黎加</t>
  </si>
  <si>
    <t>CR</t>
  </si>
  <si>
    <t>海外仓自提 华南纽速达(包税)</t>
  </si>
  <si>
    <t>AMAZON-LAX9</t>
  </si>
  <si>
    <t>11263 Oleander Ave,FONTANA,CA 92337,USA</t>
  </si>
  <si>
    <t>古巴</t>
  </si>
  <si>
    <t>CU</t>
  </si>
  <si>
    <t>海外仓自提 华南纽速达(不包税)</t>
  </si>
  <si>
    <t>AMAZON-MQJ1</t>
  </si>
  <si>
    <t>4412 W 300 N GREENFIELD, IN 46140,USA</t>
  </si>
  <si>
    <t>多米尼加共和国</t>
  </si>
  <si>
    <t>DO</t>
  </si>
  <si>
    <t>海外仓自提 华南纽速达(立方包税)</t>
  </si>
  <si>
    <t>AMAZON-GYR3</t>
  </si>
  <si>
    <t>8181 W ROOSEVELT ST PHOENIX, AZ 85043,USA</t>
  </si>
  <si>
    <t>厄瓜多尔</t>
  </si>
  <si>
    <t>EC</t>
  </si>
  <si>
    <t>海外仓自提/华东 普船(包税)</t>
  </si>
  <si>
    <t>AMAZON-DET1</t>
  </si>
  <si>
    <t>39000 Amrhein RD Livonia MI 48150,USA</t>
  </si>
  <si>
    <t>法属圭亚那</t>
  </si>
  <si>
    <t>GF</t>
  </si>
  <si>
    <t>海外仓自提/华东 普船(不包税)</t>
  </si>
  <si>
    <t>AMAZON-IND9</t>
  </si>
  <si>
    <t>1151 S GRAHAM RD GREENWOOD IN 46143,USA</t>
  </si>
  <si>
    <t>格林纳达</t>
  </si>
  <si>
    <t>GD</t>
  </si>
  <si>
    <t>海外仓自提/华东 普船(立方包税)</t>
  </si>
  <si>
    <t>AMAZON-MEM1</t>
  </si>
  <si>
    <t>3292 E Holmes Rd Memphis TN 38118,USA</t>
  </si>
  <si>
    <t>瓜德罗普</t>
  </si>
  <si>
    <t>GP</t>
  </si>
  <si>
    <t>海外仓自提/华南 普船(包税)</t>
  </si>
  <si>
    <t>AMAZON-JVL1</t>
  </si>
  <si>
    <t>1255 Gateway Blvd BELOIT WI 53511,USA</t>
  </si>
  <si>
    <t>危地马拉</t>
  </si>
  <si>
    <t>GT</t>
  </si>
  <si>
    <t>海外仓自提/华南 普船(不包税)</t>
  </si>
  <si>
    <t>AMAZON-GSO1</t>
  </si>
  <si>
    <t>1656 OLD GREENSBORO RD KERNERSVILLE,NC 27284,USA</t>
  </si>
  <si>
    <t>圭亚那</t>
  </si>
  <si>
    <t>GY</t>
  </si>
  <si>
    <t>海外仓自提/华南 普船(立方包税)</t>
  </si>
  <si>
    <t>AMAZON-CMH3</t>
  </si>
  <si>
    <t>700 GATEWAY BLVD Monroe,OH 45050,USA</t>
  </si>
  <si>
    <t>海地</t>
  </si>
  <si>
    <t>HT</t>
  </si>
  <si>
    <t>华东英国递延卡派[NB]</t>
  </si>
  <si>
    <t>AMAZON-KRB1</t>
  </si>
  <si>
    <t>555 E ORANGE SHOW RD SAN BERNARDINO,CA 92408,USA</t>
  </si>
  <si>
    <t>洪都拉斯</t>
  </si>
  <si>
    <t>HN</t>
  </si>
  <si>
    <t>华东英国自税卡派[NB]</t>
  </si>
  <si>
    <t>AMAZON-FTW9</t>
  </si>
  <si>
    <t>944 West Sandy Lake Road COPPELL,TX 75019,USA</t>
  </si>
  <si>
    <t>牙买加</t>
  </si>
  <si>
    <t>JM</t>
  </si>
  <si>
    <t>华东英国递延卡派[SH]</t>
  </si>
  <si>
    <t>AMAZON-KRB2</t>
  </si>
  <si>
    <t>7000 HARDWARE DR PRINCE GEORGE,VA 23875,USA</t>
  </si>
  <si>
    <t>马提尼克</t>
  </si>
  <si>
    <t>MQ</t>
  </si>
  <si>
    <t>华东英国自税卡派[SH]</t>
  </si>
  <si>
    <t>AMAZON-TEB9</t>
  </si>
  <si>
    <t>601 Randolph Road SOMERSET,NJ 08873,USA</t>
  </si>
  <si>
    <t>墨西哥</t>
  </si>
  <si>
    <t>MX</t>
  </si>
  <si>
    <t>华南英国递延卡派[SZ]</t>
  </si>
  <si>
    <t>AMAZON-BWI4</t>
  </si>
  <si>
    <t>165 Business Blvd Clear Brook VA 22624,USA</t>
  </si>
  <si>
    <t>蒙特塞拉特</t>
  </si>
  <si>
    <t>华南英国自税卡派[SZ]</t>
  </si>
  <si>
    <t>AMAZON-TPA3</t>
  </si>
  <si>
    <t>676 C Fred Jones Blvd Auburndale,FL 33823,USA</t>
  </si>
  <si>
    <t>尼加拉瓜</t>
  </si>
  <si>
    <t>NI</t>
  </si>
  <si>
    <t>华南英国递延卡派[XM]</t>
  </si>
  <si>
    <t>AMAZON-ALB1</t>
  </si>
  <si>
    <t>1835 US Route 9 Castleton,NY 12033,USA</t>
  </si>
  <si>
    <t>巴拿马</t>
  </si>
  <si>
    <t>华南英国自税卡派[XM]</t>
  </si>
  <si>
    <t>AMAZON-PIT2</t>
  </si>
  <si>
    <t>1200 Westport Rd IMPERIAL,PA 15126,USA</t>
  </si>
  <si>
    <t>巴拉圭</t>
  </si>
  <si>
    <t>PY</t>
  </si>
  <si>
    <t>整柜到门包税</t>
  </si>
  <si>
    <t>AMAZON-DAL3</t>
  </si>
  <si>
    <t>1301 Chalk Hill Road DALLAS,TX 75211,USA</t>
  </si>
  <si>
    <t>秘鲁</t>
  </si>
  <si>
    <t>PE</t>
  </si>
  <si>
    <t>整柜到门不包税</t>
  </si>
  <si>
    <t>AMAZON-SBD2</t>
  </si>
  <si>
    <t>1494 S WATERMAN AVE SAN BERNARDINO,CA 92408,USA</t>
  </si>
  <si>
    <t>波多黎各</t>
  </si>
  <si>
    <t>PR</t>
  </si>
  <si>
    <t>清提派包税</t>
  </si>
  <si>
    <t>AMAZON-MEM6</t>
  </si>
  <si>
    <t>11505 Progress Way OLIVE BRANCH,MS 38654,USA</t>
  </si>
  <si>
    <t>圣卢西亚</t>
  </si>
  <si>
    <t>LC</t>
  </si>
  <si>
    <t>清提派不包税</t>
  </si>
  <si>
    <t>AMAZON-DET2</t>
  </si>
  <si>
    <t>50500 Mound Rd Shelby Township,MI 48317,USA</t>
  </si>
  <si>
    <t>圣马丁岛</t>
  </si>
  <si>
    <t>SX</t>
  </si>
  <si>
    <t>纯卡车派送</t>
  </si>
  <si>
    <t>AMAZON-MCO2</t>
  </si>
  <si>
    <t>2600 N Normandy Blvd Deltona,FL 32725,USA</t>
  </si>
  <si>
    <t>圣文森特和格林纳丁斯</t>
  </si>
  <si>
    <t>VC</t>
  </si>
  <si>
    <t>纯清关包税</t>
  </si>
  <si>
    <t>AMAZON-FAT1</t>
  </si>
  <si>
    <t>3575 S. Orange Ave. Fresno CA 93725,USA</t>
  </si>
  <si>
    <t>萨尔瓦多</t>
  </si>
  <si>
    <t>SV</t>
  </si>
  <si>
    <t>纯清关不包税</t>
  </si>
  <si>
    <t>AMAZON-DCA6</t>
  </si>
  <si>
    <t>6001 Bethlehem Blvd BALTIMORE,MD 21219,USA</t>
  </si>
  <si>
    <t>苏里南</t>
  </si>
  <si>
    <t>SR</t>
  </si>
  <si>
    <t>头程+后端清关包税</t>
  </si>
  <si>
    <t>AMAZON-OAK3</t>
  </si>
  <si>
    <t>255 Park Center Drive Patterson CA 95363,USA</t>
  </si>
  <si>
    <t>特立尼达和多巴哥</t>
  </si>
  <si>
    <t>TT</t>
  </si>
  <si>
    <t>头程+后端清关不包税</t>
  </si>
  <si>
    <t>AMAZON-SJC7</t>
  </si>
  <si>
    <t>188 Mountain House Parkway Tracy,CA 95377,USA</t>
  </si>
  <si>
    <t>特克斯和凯科斯群岛</t>
  </si>
  <si>
    <t>TC</t>
  </si>
  <si>
    <t>头程+后端卡车</t>
  </si>
  <si>
    <t>AMAZON-HOU3</t>
  </si>
  <si>
    <t>HOU3 31555 Highway 90 E Brookshire,TX 77423,USA</t>
  </si>
  <si>
    <t>乌拉圭</t>
  </si>
  <si>
    <t>UY</t>
  </si>
  <si>
    <t>AMAZON-SBD3</t>
  </si>
  <si>
    <t>5990 N Cajon Blvd SAN BERNARDINO,CA 92407,USA</t>
  </si>
  <si>
    <t>委内瑞拉</t>
  </si>
  <si>
    <t>VE</t>
  </si>
  <si>
    <t>AMAZON-MDW9</t>
  </si>
  <si>
    <t>2865 Duke Parkway Aurora,IL 60502,USA</t>
  </si>
  <si>
    <t>英属维尔京群岛</t>
  </si>
  <si>
    <t>VG</t>
  </si>
  <si>
    <t>AMAZON-SAV3</t>
  </si>
  <si>
    <t>7001 Skipper Rd Macon,GA 31216,USA</t>
  </si>
  <si>
    <t>圣皮埃尔和密克隆</t>
  </si>
  <si>
    <t>PM</t>
  </si>
  <si>
    <t>AMAZON-RDG1</t>
  </si>
  <si>
    <t>3563 Mountain Road HAMBURG,PA 19526,USA</t>
  </si>
  <si>
    <t>荷属安地列斯</t>
  </si>
  <si>
    <t>AN</t>
  </si>
  <si>
    <t>AMAZON-PDX7</t>
  </si>
  <si>
    <t>4775 Depot Ct SE Salem,OR 97317,USA</t>
  </si>
  <si>
    <t>格陵兰</t>
  </si>
  <si>
    <t>GL</t>
  </si>
  <si>
    <t>AMAZON-LGB9</t>
  </si>
  <si>
    <t>4375 N Perris Blvd. PERRIS,CA 92571,USA</t>
  </si>
  <si>
    <t>百慕大</t>
  </si>
  <si>
    <t>BM</t>
  </si>
  <si>
    <t>AMAZON-CSG1</t>
  </si>
  <si>
    <t>280 BRIDGEPORT BLVD.Moreland,GA 30259,USA</t>
  </si>
  <si>
    <t>澳大利亚</t>
  </si>
  <si>
    <t>AU</t>
  </si>
  <si>
    <t>AMAZON-CLT3</t>
  </si>
  <si>
    <t>6500 Davidson Hwy Concord NC 28027,USA</t>
  </si>
  <si>
    <t>库克群岛</t>
  </si>
  <si>
    <t>CK</t>
  </si>
  <si>
    <t>AMAZON-ORD2</t>
  </si>
  <si>
    <t>23714 W Amoco Rd CHANNAHON IL 60410,USA</t>
  </si>
  <si>
    <t>斐济</t>
  </si>
  <si>
    <t>FJ</t>
  </si>
  <si>
    <t>AMAZON-KRB4</t>
  </si>
  <si>
    <t>4501 PATTERSON AVE PERRIS CA 92571,USA</t>
  </si>
  <si>
    <t>瑙鲁</t>
  </si>
  <si>
    <t>NR</t>
  </si>
  <si>
    <t>AMAZON-BFI7</t>
  </si>
  <si>
    <t>新喀里多尼亚</t>
  </si>
  <si>
    <t>AMAZON-SCK1</t>
  </si>
  <si>
    <t>4532 NEWCASTLE RD STOCKTON CA 95215,USA</t>
  </si>
  <si>
    <t>瓦努阿图</t>
  </si>
  <si>
    <t>VU</t>
  </si>
  <si>
    <t>AMAZON-ACY2</t>
  </si>
  <si>
    <t>1101 E PEARL ST BURLINGTON NJ 08016,USA</t>
  </si>
  <si>
    <t>新西兰</t>
  </si>
  <si>
    <t>NZ</t>
  </si>
  <si>
    <t>AMAZON-DAL2</t>
  </si>
  <si>
    <t>2601 S. Airfield Drive,DFW Airport,TX 75261,USA</t>
  </si>
  <si>
    <t>诺福克岛</t>
  </si>
  <si>
    <t>NF</t>
  </si>
  <si>
    <t>AMAZON-HOU7</t>
  </si>
  <si>
    <t>16225 TOMBALL PKWY BLDG A,HOUSTON,TX 77064,USA</t>
  </si>
  <si>
    <t>巴布亚新几内亚</t>
  </si>
  <si>
    <t>PG</t>
  </si>
  <si>
    <t>AMAZON-YVR1</t>
  </si>
  <si>
    <t>450 Derwent PL Delta, British Columbia V3M5Y9,CA</t>
  </si>
  <si>
    <t>所罗门群岛</t>
  </si>
  <si>
    <t>SB</t>
  </si>
  <si>
    <t>AMAZON-YVR2</t>
  </si>
  <si>
    <t>汤加</t>
  </si>
  <si>
    <t>TO</t>
  </si>
  <si>
    <t>AMAZON-YVR3</t>
  </si>
  <si>
    <t>109 Braid Street New Westminster,British Columbia V3L5H4,CA</t>
  </si>
  <si>
    <t>萨摩亚</t>
  </si>
  <si>
    <t>WS</t>
  </si>
  <si>
    <t>AMAZON-YVR4</t>
  </si>
  <si>
    <t>4189 Salish Sea Way，Tsawwassen,British Columbia V4M0B9,CA</t>
  </si>
  <si>
    <t>基里巴斯</t>
  </si>
  <si>
    <t>KI</t>
  </si>
  <si>
    <t>AMAZON-YYZ1</t>
  </si>
  <si>
    <t>6363 Millcreek Drive Mississauga,Ontario L5N1L8,CA</t>
  </si>
  <si>
    <t>图瓦卢</t>
  </si>
  <si>
    <t>TV</t>
  </si>
  <si>
    <t>AMAZON-YYZ2</t>
  </si>
  <si>
    <t>2750 Peddie Rd. Milton,CA L9T0K1,CA</t>
  </si>
  <si>
    <t>密克罗尼西亚联邦</t>
  </si>
  <si>
    <t>FM</t>
  </si>
  <si>
    <t>AMAZON-YYZ3</t>
  </si>
  <si>
    <t>7995 Winston Churchill Blvd. Brampton,Ontario L6Y5Z4,CA</t>
  </si>
  <si>
    <t>马绍尔群岛</t>
  </si>
  <si>
    <t>MH</t>
  </si>
  <si>
    <t>AMAZON-YYZ4</t>
  </si>
  <si>
    <t>8050 Heritage Road Brampton,Ontario L6Y6L5,CA</t>
  </si>
  <si>
    <t>帕劳</t>
  </si>
  <si>
    <t>PW</t>
  </si>
  <si>
    <t>AMAZON-YYZ6</t>
  </si>
  <si>
    <t>8050 Heritage Road Brampton,Ontario L6Y0C9,CA</t>
  </si>
  <si>
    <t>法属波利尼西亚</t>
  </si>
  <si>
    <t>PF</t>
  </si>
  <si>
    <t>AMAZON-YYZ7</t>
  </si>
  <si>
    <t>12724 Coleraine Drive Bolton,Ontario L7E4L8,CA</t>
  </si>
  <si>
    <t>蒙巴萨</t>
  </si>
  <si>
    <t>KN</t>
  </si>
  <si>
    <t>AMAZON-YYC1</t>
  </si>
  <si>
    <t>293069 Colonel Robertson Way and Crossiron Blvd Calgary,Alberta T4A1C6,CA</t>
  </si>
  <si>
    <t>AMAZON-YEG1</t>
  </si>
  <si>
    <t>1440 39 AVE Nisku Alberta T9E0B4,CA</t>
  </si>
  <si>
    <t>亚喀巴</t>
  </si>
  <si>
    <t>AMAZON-TTN2</t>
  </si>
  <si>
    <t>343 HALF ACRE RDCRANBURY,NJ 08512,CA</t>
  </si>
  <si>
    <t>AMAZON-YYZ9</t>
  </si>
  <si>
    <t>6351 Steeles Ave E Scarborough,ON M1X1N5,CA</t>
  </si>
  <si>
    <t>AMAZON-YOW1</t>
  </si>
  <si>
    <t>5225 Boundary Road Navan,ON K4B0L3,CA</t>
  </si>
  <si>
    <t>AMAZON-SLC2</t>
  </si>
  <si>
    <t>7148 W. Old Bingham Hwy West Jordan,UT 84081,USA</t>
  </si>
  <si>
    <t>AMAZON-LGB3</t>
  </si>
  <si>
    <t>4950 Goodman WayEastvale, CA 91752,USA</t>
  </si>
  <si>
    <t>AMAZON-FTW6</t>
  </si>
  <si>
    <t>2601 W Bethel Road  Dallas,TX 75261,USA</t>
  </si>
  <si>
    <t>AMAZON-LAS7</t>
  </si>
  <si>
    <t>6001 East Tropical Parkway
Las Vegas,NV 89115,USA</t>
  </si>
  <si>
    <t>AMAZON-LGB7</t>
  </si>
  <si>
    <t>1660 N. Linden Avenue Rialto, CA 92376,USA</t>
  </si>
  <si>
    <t>AMAZON-STL3</t>
  </si>
  <si>
    <t>3200 E SAWYER RD,REPUBLIC MO 65738,USA</t>
  </si>
  <si>
    <t>AMAZON-AZA4</t>
  </si>
  <si>
    <t>3333 S 59TH AVE
PHOENIX, AZ 85043,USA</t>
  </si>
  <si>
    <t>AMAZON-SMF7</t>
  </si>
  <si>
    <t>4800 Midway Road VACAVILLE,CA 95688,USA</t>
  </si>
  <si>
    <t>AMAZON-FTW5</t>
  </si>
  <si>
    <t>1475 AKRON WAY FORNEY, TX 75126,USA</t>
  </si>
  <si>
    <t>AMAZON-SMF6</t>
  </si>
  <si>
    <t>4930 ALLBAUGH DRSACRAMENTO, CA 95837,USA</t>
  </si>
  <si>
    <t>美西海外仓CA-CA海外仓储</t>
  </si>
  <si>
    <t>14950 Valley View Ave, La Mirada CA 90638,USA</t>
  </si>
  <si>
    <t>温哥华BC-VAN海外仓储</t>
  </si>
  <si>
    <t>877 Cliveden Ave, Delta, BC V3M 5R6,CA</t>
  </si>
  <si>
    <t>AMAZON-HOU8</t>
  </si>
  <si>
    <t>2303 Hurricane Lane
FRESNO,TX 77545,USA</t>
  </si>
  <si>
    <t>AMAZON-TEB4</t>
  </si>
  <si>
    <t>747 COURSES LANDING RD PENNS GROVE,NJ 08069,USA</t>
  </si>
  <si>
    <t>AMAZON-JFK8</t>
  </si>
  <si>
    <t>546 Gulf Avenue
Staten Island,NY 10314,USA</t>
  </si>
  <si>
    <t>AMAZON-SCK3</t>
  </si>
  <si>
    <t>3565 N AIRPORT WAY MANTECA,CA 95336,USA</t>
  </si>
  <si>
    <t>AMAZON-FAT2</t>
  </si>
  <si>
    <t>3315 N KELSEY ST
VISALIA,CA 93291,USA</t>
  </si>
  <si>
    <t>AMAZON-OKC2</t>
  </si>
  <si>
    <t>8991 S Portland Avenue
OKLAHOMA CITY,OK 73159,USA</t>
  </si>
  <si>
    <t>AMAZON-ICT2</t>
  </si>
  <si>
    <t>7130 N BROADWAY AVE
PARK CITY,KS 67219,USA</t>
  </si>
  <si>
    <t>AMAZON-ATL2</t>
  </si>
  <si>
    <t>2255 W PARK PLACE BLVD STONE MOUNTAIN,GA 30087,USA</t>
  </si>
  <si>
    <t>AMAZON-SBD1</t>
  </si>
  <si>
    <t>3388 S Cactus Ave  BLOOMINGTON,CA 92316,USA</t>
  </si>
  <si>
    <t>AMAZON-BFL1</t>
  </si>
  <si>
    <t>1601 Petrol Road
BAKERSFIELD,CA 93308,USA</t>
  </si>
  <si>
    <t>AMAZON-DCA1</t>
  </si>
  <si>
    <t>1700 Sparrows Point Boulevard MD 21219,USA</t>
  </si>
  <si>
    <t>AMAZON-XLX1</t>
  </si>
  <si>
    <t>1115 Wesel Blvd HAGERSTOWN,MD 21740,USA</t>
  </si>
  <si>
    <t>AMAZON-OAK4</t>
  </si>
  <si>
    <t>1555 N. Chrisman Rd.Tracy CA 95304,USA</t>
  </si>
  <si>
    <t>AMAZON-PDX9</t>
  </si>
  <si>
    <t>1250 NW Swigert Way Troutdale, OR 97060,USA</t>
  </si>
  <si>
    <t>AMAZON-GEG2</t>
  </si>
  <si>
    <t>18007 E Garland Ave
SPOKANE, WA 99216,USA</t>
  </si>
  <si>
    <t>AMAZON-SWF1</t>
  </si>
  <si>
    <t>635 INTERNATIONAL BLVD,ROCK TAVERN,NY 12575,USA</t>
  </si>
  <si>
    <t>AMAZON-LIT1</t>
  </si>
  <si>
    <t>7001 ZEUBER RD,LITTLE ROCK,AR 72206,USA</t>
  </si>
  <si>
    <t>AMAZON-STL8</t>
  </si>
  <si>
    <t>4000 Premier Parkway SAINT PETERS,MO 63376,USA</t>
  </si>
  <si>
    <t>AMAZON-MKC6</t>
  </si>
  <si>
    <t>6925 Riverview Avenue Kansas City KX 66102,USA</t>
  </si>
  <si>
    <t>AMAZON-SAT4</t>
  </si>
  <si>
    <t>10384 W US HIGHWAY 90 SAN ANTONIO,TX 78245,USA</t>
  </si>
  <si>
    <t>AMAZON-GRR1</t>
  </si>
  <si>
    <t>4500 68th Street SE CALEDONIA,MI 49316,USA</t>
  </si>
  <si>
    <t>AMAZON-OKC1</t>
  </si>
  <si>
    <t>9201 S Portland Avenue OKLAHOMA CITY,OK 73159,USA</t>
  </si>
  <si>
    <t>AMAZON-GYR2</t>
  </si>
  <si>
    <t>17341 W MINNEZONA AVE GOODYEAR,AZ 85395,USA</t>
  </si>
  <si>
    <t>AMAZON-TUS2</t>
  </si>
  <si>
    <t>6701 S KOLB RD
TUCSON,AZ 85756,USA</t>
  </si>
  <si>
    <t>AMAZON-CLT4</t>
  </si>
  <si>
    <t>8000 TUCKASEEGEE RD CHARLOTTE,NC 28214,USA</t>
  </si>
  <si>
    <t>AMAZON-CLE3</t>
  </si>
  <si>
    <t>1155 BABBITT ROAD,Euclid,OH 44132,USA</t>
  </si>
  <si>
    <t>AMAZON-RDU1</t>
  </si>
  <si>
    <t>4851 Jones Sausage Rd
GARNER,NC 27529,USA</t>
  </si>
  <si>
    <t>AMAZON-AVP3</t>
  </si>
  <si>
    <t>298 First Ave
Covington Township PA 18424,USA</t>
  </si>
  <si>
    <t>AMAZON-FOE1</t>
  </si>
  <si>
    <t>9400 LEAVENWORTH RD   KANSAS CITY,KS 66109,USA</t>
  </si>
  <si>
    <t>AMAZON-ILG1</t>
  </si>
  <si>
    <t>780 S. DuPont Highway NEW CASTLE,DE 19720,USA</t>
  </si>
  <si>
    <t>AMAZON-YOO1</t>
  </si>
  <si>
    <t>789 Salem Rd N Ajax,ON L1Z 0J2,CA</t>
  </si>
  <si>
    <t>AMAZON-FAR1</t>
  </si>
  <si>
    <t>3701 40TH AVE N FARGO,ND 58102,USA</t>
  </si>
  <si>
    <t>AMAZON-IGQ2</t>
  </si>
  <si>
    <t>23257 S. Central Avenue University Park IL 60484,USA</t>
  </si>
  <si>
    <t>AMAZON-YXX2</t>
  </si>
  <si>
    <t>16131 Blundell Rd  RICHMOND BC V6W 0A3,CA</t>
  </si>
  <si>
    <t>AMAZON-SNA4</t>
  </si>
  <si>
    <t>2496 W Walnut Ave
Rialto,CA 92376,USA</t>
  </si>
  <si>
    <t>AMAZON-HSV1</t>
  </si>
  <si>
    <t>7817 Greenbrier Road,MADISON,AL 35756,USA</t>
  </si>
  <si>
    <t>AMAZON-AFW1</t>
  </si>
  <si>
    <t>1851 NE LOOP 820
FORT WORTH,TX 76131,USA</t>
  </si>
  <si>
    <t>AMAZON-SCK4</t>
  </si>
  <si>
    <t>6001 S AUSTIN RD
STOCKTON,CA 95215,USA</t>
  </si>
  <si>
    <t>AMAZON-AKC1</t>
  </si>
  <si>
    <t>2450 ROMIG RD
AKRON,OH 44320,USA</t>
  </si>
  <si>
    <t>AMAZON-GEG1</t>
  </si>
  <si>
    <t>10010 W Geiger Blvd, Spokane,WA 99224,USA</t>
  </si>
  <si>
    <t>AMAZON-LFT1</t>
  </si>
  <si>
    <t>3550 NE Evangeline Trwy, CARENCRO,LA 70520,USA</t>
  </si>
  <si>
    <t>AMAZON-BOI2</t>
  </si>
  <si>
    <t>5295 E. Franklin Road，NAMPA,ID 83687,USA</t>
  </si>
  <si>
    <t>AMAZON-PCW1</t>
  </si>
  <si>
    <t>27400 Crossroads Parkway ROSSFORD,OH 43460,USA</t>
  </si>
  <si>
    <t>AMAZON-MCO1亚</t>
  </si>
  <si>
    <t>12340 Boggy Creek Rd
Orlando,FL 32824,USA</t>
  </si>
  <si>
    <t>AMAZON-GYR1</t>
  </si>
  <si>
    <t>605 S BULLARD AVE
GOODYEAR,AZ 85338,USA</t>
  </si>
  <si>
    <t>AMAZON-BDL3</t>
  </si>
  <si>
    <t>409 Washington Avenue North Haven,CT 06473,USA</t>
  </si>
  <si>
    <t>AMAZON-DEN3</t>
  </si>
  <si>
    <t>14601 Grant Street Thornton,CO 80023,USA</t>
  </si>
  <si>
    <t>AMAZON-LIT2</t>
  </si>
  <si>
    <t>13001 HIGHWAY 70
NORTH LITTLE ROCK,AR 72117,USA</t>
  </si>
  <si>
    <t>AMAZON-PDX6</t>
  </si>
  <si>
    <t>15000 N. Lombard St Portland,OR 97203,USA</t>
  </si>
  <si>
    <t>AMAZON-XLX2</t>
  </si>
  <si>
    <t>3565 N AIRPORT WAY MANTECAA,CA 95336,USA</t>
  </si>
  <si>
    <t>AMAZON-SLC1</t>
  </si>
  <si>
    <t>777 N 5600 W Salt Lake City,UT 84116,USA</t>
  </si>
  <si>
    <t>AMAZON-LGB6</t>
  </si>
  <si>
    <t>20901 Krameria Ave
Riverside,CA 92518,USA</t>
  </si>
  <si>
    <t>AMAZON-ACY1</t>
  </si>
  <si>
    <t>240 Mantua Grove Road West Deptford NJ 08066,USA</t>
  </si>
  <si>
    <t>多伦多ON-TO海外仓储</t>
  </si>
  <si>
    <t>180 Traders Blvd E,Mississauga,ON L4Z 1W7,CA</t>
  </si>
  <si>
    <t>AMAZON-BHM1</t>
  </si>
  <si>
    <t>975 Powder Plant Rd 	BESSEMER,AL 35022,USA</t>
  </si>
  <si>
    <t>AMAZON-FWA4</t>
  </si>
  <si>
    <t>9798 Smith Road
FORT WAYNE,IN 46809,USA</t>
  </si>
  <si>
    <t>AMAZON-HGR2</t>
  </si>
  <si>
    <t>1115 WESEL BLVDHAGERSTOWN, MD 21740,USA</t>
  </si>
  <si>
    <t>AMAZON-SMF1亚</t>
  </si>
  <si>
    <t>4900 W Elkhorn Blvd Sacramento,CA 95835,USA</t>
  </si>
  <si>
    <t>AMAZON-TUL2</t>
  </si>
  <si>
    <t>4040 North 125th East Avenue TULSA OK 74116,USA</t>
  </si>
  <si>
    <t>AMAZON-YHM1</t>
  </si>
  <si>
    <t>110 AEROPARK BLVD MOUNT HOPE,ON L0R 1W1,CA</t>
  </si>
  <si>
    <t>AMAZON-DEN8</t>
  </si>
  <si>
    <t>21000 E 13th Ave. AURORA,CO 80018,USA</t>
  </si>
  <si>
    <t>AMAZON-CMH6</t>
  </si>
  <si>
    <t>3538 TRADEPORT CT LOCKBOURNE,OH 43137,USA</t>
  </si>
  <si>
    <t>WALMART-SMF1[沃]</t>
  </si>
  <si>
    <t>7000 Power line Rd Sacramento CA 95837,USA</t>
  </si>
  <si>
    <t>WALMART-PHX1[沃]</t>
  </si>
  <si>
    <t>6600 N Sarival Ave, Litchfield Park,AZ 85340,USA</t>
  </si>
  <si>
    <t>WALMART-KS1[沃]</t>
  </si>
  <si>
    <t>30801 W 191ST EDGERTON KS 66021,USA</t>
  </si>
  <si>
    <t>WALMART-KY1[沃]</t>
  </si>
  <si>
    <t>120 Velocity Way Shepherdsville,KY 40165,USA</t>
  </si>
  <si>
    <t>WALMART-NJ3[沃]</t>
  </si>
  <si>
    <t>3 Sorbello Way Pedricktown,NJ 08067,USA</t>
  </si>
  <si>
    <t>WALMART-ATL3[沃]</t>
  </si>
  <si>
    <t>445 Valentine Industrial Parkway,Pendergrass
GA 30567,USA</t>
  </si>
  <si>
    <t>WALMART-PHL2[沃]</t>
  </si>
  <si>
    <t>3926 Linden St,Bethlehem,PA 18020,USA</t>
  </si>
  <si>
    <t>WALMART-IND1[沃]</t>
  </si>
  <si>
    <t>9590 AllPoints Pkwy,Avon IN 46123,USA</t>
  </si>
  <si>
    <t>WALMART-IND2[沃]</t>
  </si>
  <si>
    <t>9360 AllPoints Pkwy,Avon IN 46123,USA</t>
  </si>
  <si>
    <t>AMAZON-DEN7</t>
  </si>
  <si>
    <t>22300 E 26th Avenue,AURORA CO 80019,USA</t>
  </si>
  <si>
    <t>WALMART-LAX1[沃]</t>
  </si>
  <si>
    <t>6750 Kimball Avenue,
Chino,CA 91708,USA</t>
  </si>
  <si>
    <t>AMAZON-BDL6</t>
  </si>
  <si>
    <t>120 County Line Drive,CROMWELL,CT 06416,USA</t>
  </si>
  <si>
    <t>AMAZON-TPA6</t>
  </si>
  <si>
    <t>3400 NW 35th Avenue Road OCALA,FL 34475,USA</t>
  </si>
  <si>
    <t>美东海外仓-NJ海外仓储</t>
  </si>
  <si>
    <t>1 Brick Plant Rd, South River,,NJ08882 ,USA</t>
  </si>
  <si>
    <t>AMAZON-AVP9</t>
  </si>
  <si>
    <t>45 VALLEY VIEW DR
JESSUP,PA 18434,USA</t>
  </si>
  <si>
    <t>AMAZON-BHX4</t>
  </si>
  <si>
    <t>Plot 1,Lyons Park,Sayer Dr CV5 9PF-Coventry,West Midlands,UK</t>
  </si>
  <si>
    <t>AMAZON-OLM1</t>
  </si>
  <si>
    <t>3300 HOGUM BAY RD NE
OLYMPIA,WA 98516,USA</t>
  </si>
  <si>
    <t>AMAZON-YOW3</t>
  </si>
  <si>
    <t>222 Citigate Drive NEPEAN,ON K2J 7C7,CA</t>
  </si>
  <si>
    <t>AMAZON-SAT6</t>
  </si>
  <si>
    <t>1346 Fortuna Road SAN MARCOS,TX 78666,USA</t>
  </si>
  <si>
    <t>AMAZON-QXY9</t>
  </si>
  <si>
    <t>36900 W FOURTH ST,BEAUMONT,CA 92223,USA</t>
  </si>
  <si>
    <t>WALMART-PHL2N[沃]</t>
  </si>
  <si>
    <t>2785 COMMERCE CENTER BLVD ETHLEHEM PA 18015,USA</t>
  </si>
  <si>
    <t>AMAZON-MCE1</t>
  </si>
  <si>
    <t>3200 Fulkerth Road TURLOCK,CA 95380,USA</t>
  </si>
  <si>
    <t>AMAZON-CLT6</t>
  </si>
  <si>
    <t>12220 Carolina Logistics Drive PINEVILLE, NC 28134,USA</t>
  </si>
  <si>
    <t>AMAZON-KRB7[AWD]</t>
  </si>
  <si>
    <t>36900 W 4th St BEAUMONT, CA 92223,USA</t>
  </si>
  <si>
    <t>AMAZON-FTW8</t>
  </si>
  <si>
    <t>3351 Balmorhea Dr.
Dallas,TX 75241,USA</t>
  </si>
  <si>
    <t>AMAZON-IUSL[AWD]</t>
  </si>
  <si>
    <t>AMAZON-KRB6</t>
  </si>
  <si>
    <t>4200 FERRY RD,Aurora,IL 60502,USA</t>
  </si>
  <si>
    <t>AMAZON-KRB5</t>
  </si>
  <si>
    <t>AMAZON-IUSM[AWD]</t>
  </si>
  <si>
    <t>AMAZON-BFL2</t>
  </si>
  <si>
    <t>4500 EXPRESS AVE
SHAFTER,CA 93263,USA</t>
  </si>
  <si>
    <t>一件代发-ZM大件仓NJ[07094]</t>
  </si>
  <si>
    <t>915 Secaucus Rd,Secaucus,NJ 07094,US</t>
  </si>
  <si>
    <t>AMAZON-XLX6</t>
  </si>
  <si>
    <t>12220 Carolina Logistics Drive PINEVILLE,NC 28134,USA</t>
  </si>
  <si>
    <t>WALMART-ATL1[沃]</t>
  </si>
  <si>
    <t>6055 S Fulton Pkwy,Atlanta,GA30349,USA</t>
  </si>
  <si>
    <t>AMAZON-ORF2</t>
  </si>
  <si>
    <t>5045 PORTSMOUTH BLVD CHESAPEAKE,VA 23321,USA</t>
  </si>
  <si>
    <t>AMAZON-IND6</t>
  </si>
  <si>
    <t>900 Patrol Rd
Jeffersonville,IN 47130,USA</t>
  </si>
  <si>
    <t>AMAZON-RFD4</t>
  </si>
  <si>
    <t>11400 Venture Court HUNTLEY,IL 60142,USA</t>
  </si>
  <si>
    <t>AMAZON-MEM8</t>
  </si>
  <si>
    <t>850 GATEWAY GLOBAL DR, BYHALIA, MS 38611,USA</t>
  </si>
  <si>
    <t>AMAZON-JFK7</t>
  </si>
  <si>
    <t>7 W. 34th St., New York,NY 10001,USA</t>
  </si>
  <si>
    <t>AMAZON-XLX7</t>
  </si>
  <si>
    <t>18580 Gateway Dr,Victorville,CA 92394,USA</t>
  </si>
  <si>
    <t>WALMART-MCO1[沃]</t>
  </si>
  <si>
    <t>5100 NORTH RIDGE TRAIL Davenport,FL 33897,USA</t>
  </si>
  <si>
    <t>AMAZON-YEG2</t>
  </si>
  <si>
    <t>27383 92 Ave
Acheson, AB T7X 2X2,USA</t>
  </si>
  <si>
    <t>AMAZON-SLC3</t>
  </si>
  <si>
    <t>355 N John Glenn Rd,Salt Lake ,UT 84116,USA</t>
  </si>
  <si>
    <t>AMAZON-VGT2</t>
  </si>
  <si>
    <t>6401 Howdy Wells Ave,LAS VEGAS,NV 89115,USA</t>
  </si>
  <si>
    <t>WALMART-MEM1S[沃]</t>
  </si>
  <si>
    <t>10480 MARINA DIRVE,OLIVE BRANCH,MS 38654,USA</t>
  </si>
  <si>
    <t>AMAZON-CHO1</t>
  </si>
  <si>
    <t>32 TRADER RD,FISHERSVILLE,VA 22939,USA</t>
  </si>
  <si>
    <t>AMAZON-MCI3</t>
  </si>
  <si>
    <t>2361 S Withers Rd, Liberty, MO 64068,USA</t>
  </si>
  <si>
    <t>WALMART-ORD1S[沃]</t>
  </si>
  <si>
    <t>3501 Brandon Road
Joliet,IL 60436,USA</t>
  </si>
  <si>
    <t>AMAZON-AKR1</t>
  </si>
  <si>
    <t>4747 Rebar Ave NE CANTON OH 44705,USA</t>
  </si>
  <si>
    <t>AMAZON-MDT4</t>
  </si>
  <si>
    <t>5125 Commerce Drive YORK,PA 17408,USA</t>
  </si>
  <si>
    <t>AMAZON-AMA1</t>
  </si>
  <si>
    <t>8590 NE 24th Avenue AMARILLO,TX 79108,USA</t>
  </si>
  <si>
    <t>WALMART-BNA1S[沃]</t>
  </si>
  <si>
    <t>1015 Hixson Blvd,
Lebanon,TN 37090,USA</t>
  </si>
  <si>
    <t>AMAZON-MQJ2</t>
  </si>
  <si>
    <t>19 BOB GLIDDEN BLVD
WHITELAND,IN 46184,USA</t>
  </si>
  <si>
    <t>WALMART-LAX2T[沃]</t>
  </si>
  <si>
    <t>6730 Kimball Ave,Chino,CA 91708,USA</t>
  </si>
  <si>
    <t>WALMART-MCI1N[沃]</t>
  </si>
  <si>
    <t>1303 Sw Innovation Pkway,Topeka,KS 66619,USA</t>
  </si>
  <si>
    <t>AMAZON-HSV2</t>
  </si>
  <si>
    <t>28869 Fanning Dr NW MADISON,AL 35756,USA</t>
  </si>
  <si>
    <t>美中海外仓-IL海外仓储</t>
  </si>
  <si>
    <t>1145 Ellis Street, Bensenville,IL 60106,USA</t>
  </si>
  <si>
    <t>WALMART-PHL4n[沃]</t>
  </si>
  <si>
    <t>1410 United Dr,Shippensburg,PA 17257,USA</t>
  </si>
  <si>
    <t>SHEIN小件仓91744洛杉矶转发1号仓-SHEIN CA[91744]</t>
  </si>
  <si>
    <t>347 s. Stimson Ave,B Door17,City of lndustry,CA 91744,USA</t>
  </si>
  <si>
    <t>WALMART-IND3[沃]</t>
  </si>
  <si>
    <t>5756 Enterprise Dr,
Mccordsville, IN 46055,USA</t>
  </si>
  <si>
    <t>奥克兰海外仓-OAK海外仓储</t>
  </si>
  <si>
    <t>OAKLAND,CA USA,USA</t>
  </si>
  <si>
    <t>AMAZON-YYC6</t>
  </si>
  <si>
    <t>9705 68 ST SE Calgary, AB T2C5V8,CA</t>
  </si>
  <si>
    <t>AMAZON-IUSJ[AWD]</t>
  </si>
  <si>
    <t>36900 West 4th Street BEAUMONT,CA 92223,USA</t>
  </si>
  <si>
    <t>WALMART-DFW5s[沃]</t>
  </si>
  <si>
    <t>2500 E Belt Line Rd, Lancaster,TX 75146,USA</t>
  </si>
  <si>
    <t>AMAZON-YXU1</t>
  </si>
  <si>
    <t>11884 Sunset Rd
St Thomas,ON N5P0G9,CA,USA</t>
  </si>
  <si>
    <t>AMAZON-SWF2</t>
  </si>
  <si>
    <t>76 Patriot Way 
Hopewell Junction, NY 12533,USA</t>
  </si>
  <si>
    <t>WALMART-DFW2n[沃]</t>
  </si>
  <si>
    <t>15101 N Beach ST, Fort Worth, TX 76177,USA</t>
  </si>
  <si>
    <t>AMAZON-SCK8</t>
  </si>
  <si>
    <t>4700 WILBUR AVE OAKLEY,USA CA 94561,USA</t>
  </si>
  <si>
    <t>AMAZON-YGK1</t>
  </si>
  <si>
    <t>640 COLLEGE ST E,BELLEVILLE,ON K8N 0V2,CA</t>
  </si>
  <si>
    <t>AMAZON-IAH3</t>
  </si>
  <si>
    <t>15525 Milner Road HOUSTON, TX 77032,USA</t>
  </si>
  <si>
    <t>AMAZON-DTW3</t>
  </si>
  <si>
    <t>33701 PRESCOTT ST ROMULUS,MI 48174,USA</t>
  </si>
  <si>
    <t>WALMART-IND2n[沃]</t>
  </si>
  <si>
    <t>9360 AllPoints Pkwy. Suite 107, Plainfield, IN 46168,USA</t>
  </si>
  <si>
    <t>AMAZON-RFD2</t>
  </si>
  <si>
    <t>11500 Freeman Road HUNTLEY,IL 60142,USA</t>
  </si>
  <si>
    <t>AMAZON-PBI2</t>
  </si>
  <si>
    <t>14490 CORPORATE RD N JUPITER  FL 33478,USA</t>
  </si>
  <si>
    <t>AMAZON-RDU2</t>
  </si>
  <si>
    <t>2150 US HWY 70 Business West,SMITHFIELD,NC 27577,USA</t>
  </si>
  <si>
    <t>AMAZON-XLX3</t>
  </si>
  <si>
    <t>21590 Needham Ranch Pkwy,Santa Clarita,CA 91321,USA</t>
  </si>
  <si>
    <t>AMAZON-RMN3</t>
  </si>
  <si>
    <t>220 Centreport Parkway FREDERICKSBURG,VA22406,USA</t>
  </si>
  <si>
    <t>AMAZON-YYC4</t>
  </si>
  <si>
    <t>6635 106 AVE SE CALGARY, ABT2C5X1,CA</t>
  </si>
  <si>
    <t>WALMART-PHL5s[沃]</t>
  </si>
  <si>
    <t>1915 Ebberts Spg Ct, Greencastle, PA17225,USA</t>
  </si>
  <si>
    <t>AMAZON-IUSP[AWD]</t>
  </si>
  <si>
    <t>8140 Caliente Rd,HESPERIA,CA92344,USA</t>
  </si>
  <si>
    <t>PLOT 1, LYONS PARK,SAYER DR,COVENTRY,CV59PF,GB</t>
  </si>
  <si>
    <t>AMAZON-BHX2</t>
  </si>
  <si>
    <t>15B BEVERIDGE LN,ELLISTOWN,COALVILLE,LE67 1FB,GB</t>
  </si>
  <si>
    <t>AMAZON-BHX3</t>
  </si>
  <si>
    <t>4 ROYAL OAK WAY NORTH,DAVENTRY,NN11 8PQ,GB</t>
  </si>
  <si>
    <t>AMAZON-BHX1</t>
  </si>
  <si>
    <t>TOWER BUSINESS PARK,POWER STATION RD,RUGELEY,WS15 1LX,GB</t>
  </si>
  <si>
    <t>AMAZON-BHX5</t>
  </si>
  <si>
    <t>UNIT 3 WAVER WAY,RUGBY,CV23 0XF,GB</t>
  </si>
  <si>
    <t>AMAZON-BHX7</t>
  </si>
  <si>
    <t>UNIT 2 HINCKLEY PARK, AVERY WAY,HINCKLEY,LE10 3FF,GB</t>
  </si>
  <si>
    <t>AMAZON-CWL1</t>
  </si>
  <si>
    <t>FFORDD AMAZON,CRYMLYN BURROWS,SWANSEA,SA1 8QX,GB</t>
  </si>
  <si>
    <t>AMAZON-EDI4</t>
  </si>
  <si>
    <t>AMAZON WAY,DUNFERMLINE,KY118ST,GB</t>
  </si>
  <si>
    <t>AMAZON-EMA1</t>
  </si>
  <si>
    <t>AMAZON FULFILLMENT CENTRE,UNIT 1 WILDERS WAY,DERBY,DE74 2BB,GB</t>
  </si>
  <si>
    <t>AMAZON-EMA2</t>
  </si>
  <si>
    <t>SUMMIT PARK SHERWOOD WAY,SOUTH SUTTON  IN ASHFIELD,NG17 5NB,GB</t>
  </si>
  <si>
    <t>AMAZON-EUK5</t>
  </si>
  <si>
    <t>UNIT 1, KINGSTON PARKA,FLAXLEY RD,PETERBOROUGH,PE2 9EN,GB</t>
  </si>
  <si>
    <t>AMAZON-GLA1</t>
  </si>
  <si>
    <t>CLOCH RD, FAULDS PARK,GOUROCK,PA19 1BQ,GB</t>
  </si>
  <si>
    <t>AMAZON-LBA1</t>
  </si>
  <si>
    <t>UNIT 1 BALBY CARR BANK,DONCASTER,DN4 5JS,GB</t>
  </si>
  <si>
    <t>AMAZON-LBA2</t>
  </si>
  <si>
    <t>UNIT 1 IP1= AMAZON,IPORT AVENUE,DONCASTER,DN11 0BG,GB</t>
  </si>
  <si>
    <t>AMAZON-LBA4</t>
  </si>
  <si>
    <t>UNIT IP9 TORONTO WAY,NEW ROSSINGTON,DONCASTER,DN11 0GU,GB</t>
  </si>
  <si>
    <t>AMAZON-LCY2</t>
  </si>
  <si>
    <t>LONDON DISTRIBUTION PARK,WINDRUSH RD,TILBURY,RM18 7AN,GB</t>
  </si>
  <si>
    <t>AMAZON-LCY3</t>
  </si>
  <si>
    <t>UNIT 1 POWERHOUSE DRIVE,DARTFORD,DA1 5XU,GB</t>
  </si>
  <si>
    <t>AMAZON-LTN1</t>
  </si>
  <si>
    <t>UNIT 8-8A BADGERS RISE,MARSTON GATE FULFILLMENT CENTRE,BEDFORD,MK43 0ZA,GB</t>
  </si>
  <si>
    <t>AMAZON-LTN2</t>
  </si>
  <si>
    <t>BOUNDARY WAY,HERTFORDSHIREHEMEL,HEMEL HEMPSTEAD,HP2 7LF,GB</t>
  </si>
  <si>
    <t>AMAZON-LTN4</t>
  </si>
  <si>
    <t>UNIT DC1 PROLOGIS,BOSCOMBE ROAD,DUNSTABLE,LU5 4FE,GB</t>
  </si>
  <si>
    <t>AMAZON-MAN1</t>
  </si>
  <si>
    <t>6 SUNBANK LANE,AIRPORT CITY,MANCHESTER,M90 5AA,GB</t>
  </si>
  <si>
    <t>AMAZON-MAN2</t>
  </si>
  <si>
    <t>OMEGA PLOT 7C,ORION BOULEVARD,WARRINGTON,WA5 3XA,GB</t>
  </si>
  <si>
    <t>AMAZON-MAN3</t>
  </si>
  <si>
    <t>360 LOGISTICS NORTH,BRIDGEWATER AVE,BOLTON,BL5 1EE,GB</t>
  </si>
  <si>
    <t>AMAZON-MAN4</t>
  </si>
  <si>
    <t>29 GANDER LANE,CHESTERFIELD,S43 4PZ,GB</t>
  </si>
  <si>
    <t>AMAZON-MME1</t>
  </si>
  <si>
    <t>BUILDING ONE SYMMETRY PARK,DARLINGTON,DL1 4BF,GB</t>
  </si>
  <si>
    <t>AMAZON-MME2</t>
  </si>
  <si>
    <t>TURSDALE ROAD BOWBURN NORTH EAST,PEAT EDGE FARM,DURHAM,DH6 5NP,GB</t>
  </si>
  <si>
    <t>AMAZON-NCL1</t>
  </si>
  <si>
    <t>17 FOLLINGSBY LN,GATESHEAD,NE10 8YA,GB</t>
  </si>
  <si>
    <t>AMAZON-XBH2</t>
  </si>
  <si>
    <t>DC1 PRO LOGIS, CENTRAL PARK,RUGBY,CV23 0WB,GB</t>
  </si>
  <si>
    <t>AMAZON-XBH3</t>
  </si>
  <si>
    <t>OPTIMUS POINT,LEICESTER,LE3 8JT,GB</t>
  </si>
  <si>
    <t>AMAZON-XBH4</t>
  </si>
  <si>
    <t>GRAVELLY WAY CEVA LOGISTICS,WOLVERHAMPTON,WV10 7GW,GB</t>
  </si>
  <si>
    <t>AMAZON-XBH5</t>
  </si>
  <si>
    <t>BUILDING  HUDSON WAY,MAGNA PARK SOUTH,LUTTERWORTH,LE17 4XY,GB</t>
  </si>
  <si>
    <t>AMAZON-XDS1</t>
  </si>
  <si>
    <t>GATEWAY 4 JACKSON LANE DALE VIEW,DONCASTER,DN33FX,GB</t>
  </si>
  <si>
    <t>AMAZON-XLT1</t>
  </si>
  <si>
    <t>UNITS 9 AND 10 MANASTY RD,PETERBOROUGH,PE2 6UG,GB</t>
  </si>
  <si>
    <t>AMAZON-XLT2</t>
  </si>
  <si>
    <t>12 HOLKHAM RD, ORTON SOUTHGATE,PETERBOROUGH,PE2 6TE,GB</t>
  </si>
  <si>
    <t>AMAZON-XPL1</t>
  </si>
  <si>
    <t>FOUNDRY POINT, HALEBANK,INDUSTRIAL ESTATE FOUNDRY LANE,WIDNES,WA8 8WJ,GB</t>
  </si>
  <si>
    <t>AMAZON-XBH7</t>
  </si>
  <si>
    <t>FORTRESS WAY SUFFOLK PARK,BURY ST. EDMUNDS,IP32 7FQ,GB</t>
  </si>
  <si>
    <t>AMAZON-BHX8</t>
  </si>
  <si>
    <t>UNIT A, GATEWAY, COVENTRY HWY,REDDITCH,B98 9AY,GB</t>
  </si>
  <si>
    <t>AMAZON-LPL2</t>
  </si>
  <si>
    <t>UNIT 1 MARL ROAD,LIVERPOOL,L33 7AP,GB</t>
  </si>
  <si>
    <t>AMAZON-FCO2</t>
  </si>
  <si>
    <t>VIA,PALIANESE,COLLEFERRO,00034,IT</t>
  </si>
  <si>
    <t>AMAZON-FCO1</t>
  </si>
  <si>
    <t>VIA DELLA MECCANICA,SNC,PASSO CORESE RI,02032,IT</t>
  </si>
  <si>
    <t>AMAZON-LEJ1</t>
  </si>
  <si>
    <t>AMAZONSTRASSE,1,LEIPZIG,04347,DE</t>
  </si>
  <si>
    <t>AMAZON-WRO5[1]</t>
  </si>
  <si>
    <t>SCHIEFERSTRASSE,16,HALLE,06126,DE</t>
  </si>
  <si>
    <t>AMAZON-BCN2</t>
  </si>
  <si>
    <t>CARRER DE LA VERNEDA,22,MARTORELLES,08107,ES</t>
  </si>
  <si>
    <t>AMAZON-BCN8</t>
  </si>
  <si>
    <t>CARRER CA N'ALZINA,161,SABADELL,08210,ES</t>
  </si>
  <si>
    <t>AMAZON-TRN1</t>
  </si>
  <si>
    <t>STRADA PROVINCIALE PER RONDISSONE,90,TORRAZZA,10037,IT</t>
  </si>
  <si>
    <t>AMAZON-BER8</t>
  </si>
  <si>
    <t>AM MÖLLENPFUHL,2,SCHÖNEFELD,12529,DE</t>
  </si>
  <si>
    <t>AMAZON-MXP3</t>
  </si>
  <si>
    <t>VIA RITA LEVI MONTALCINI,2,VERCELLI IT,13100,IT</t>
  </si>
  <si>
    <t>AMAZON-XHA1</t>
  </si>
  <si>
    <t>AM HOLZ 3,A,NEU WULMSTORF,21629,DE</t>
  </si>
  <si>
    <t>AMAZON-BGY1</t>
  </si>
  <si>
    <t>VIA PRIMO MAGGIO,8,CIVIDATE AL PIANO,24050,IT</t>
  </si>
  <si>
    <t>AMAZON-MXP6</t>
  </si>
  <si>
    <t>STRADA PROVINCIALE,299 SNC,NOVARA,28100,IT</t>
  </si>
  <si>
    <t>AMAZON-MXP5</t>
  </si>
  <si>
    <t>STRADA DOGANA PO,2U,CASTEL SAN GIOVANNI PC,29015,IT</t>
  </si>
  <si>
    <t>AMAZON-FRA3</t>
  </si>
  <si>
    <t>AMAZONSTRASSE,1,BAD HERSFELD,36251,DE</t>
  </si>
  <si>
    <t>AMAZON-HAJ1</t>
  </si>
  <si>
    <t>ZUR ALTEN MOLKEREI,1,HELMSTEDT,38350,DE</t>
  </si>
  <si>
    <t>AMAZON-LEJ3</t>
  </si>
  <si>
    <t>BIELEFELDER STR,9,SÜLZETAL,39171,DE</t>
  </si>
  <si>
    <t>AMAZON-BLQ8</t>
  </si>
  <si>
    <t>VIA PELLONI,5,SPILAMBERTO,41057,IT</t>
  </si>
  <si>
    <t>AMAZON-SVQ1</t>
  </si>
  <si>
    <t>BULEVAR AGUSTÍN NUÑEZ LLANOS,S/NPOLIGONO LA ISLA DOS HERMANAS,SEVILLE,41703,ES</t>
  </si>
  <si>
    <t>AMAZON-DTM2</t>
  </si>
  <si>
    <t>KALTBANDSTRASSE,4,DORTMUND,44145,DE</t>
  </si>
  <si>
    <t>AMAZON-BLQ1</t>
  </si>
  <si>
    <t>VIA IPAZIA D’ALESSANDRIA,946,SAN BELLINO ROVIGO,45020,IT</t>
  </si>
  <si>
    <t>AMAZON-MAD6</t>
  </si>
  <si>
    <t>AVENIDA DE LA LOGISTICA,POLIGONO INDUSTRIAL VEREDILLA III,ILLESCAS,45200,ES</t>
  </si>
  <si>
    <t>AMAZON-MAD7</t>
  </si>
  <si>
    <t>CARRETERA ANTIGUA MADRID-TOLEDO,38D,ILLESCAS,45200,ES</t>
  </si>
  <si>
    <t>AMAZON-XDU2</t>
  </si>
  <si>
    <t>IM LEKKERLAND,2,OBERHAUSEN,46147,DE</t>
  </si>
  <si>
    <t>AMAZON-DUS2</t>
  </si>
  <si>
    <t>AMAZONSTRASSE,1,RHEINBERG,47495,DE</t>
  </si>
  <si>
    <t>AMAZON-ZAZ1</t>
  </si>
  <si>
    <t>POLÍGONO – PLATAFORMA LOGÍSTICA DE,ALI-28 Y ALI-2,ZARAGOZA,50197,ES</t>
  </si>
  <si>
    <t>AMAZON-CGN1</t>
  </si>
  <si>
    <t>AMAZONSTRASSE,1,KOBERN-GONDORF,56330,DE</t>
  </si>
  <si>
    <t>AMAZON-XFR2</t>
  </si>
  <si>
    <t>INDUSTRIEGEBIET ALSBERG,500,RENNEROD,56477,DE</t>
  </si>
  <si>
    <t>AMAZON-DTM1</t>
  </si>
  <si>
    <t>RAIFFEISENSTRASSE,7,WERNE,59368,DE</t>
  </si>
  <si>
    <t>AMAZON-CDG7[60300]</t>
  </si>
  <si>
    <t>PARC D.ACTIVITES DES PORTES,1 AVENUE ALAIN BOUCHER,SENLIS CEDEX,60300,FR</t>
  </si>
  <si>
    <t>AMAZON-CDG7</t>
  </si>
  <si>
    <t>PARCD'ACTIVITESDES PORTES DE SENLIS,1 AVENUE ALAIN BOUCHER,SENLIS CEDEX,60452,FR</t>
  </si>
  <si>
    <t>AMAZON-XFR3</t>
  </si>
  <si>
    <t>STADTRING 265,MICHELSTADT, DARMSTADT,MICHELSTADT,64720,DE</t>
  </si>
  <si>
    <t>AMAZON-XSC1</t>
  </si>
  <si>
    <t>HANS-GEIGER-STRASSE,7,KAISERSLAUTERN,67661,DE</t>
  </si>
  <si>
    <t>AMAZON-LYS1</t>
  </si>
  <si>
    <t>DISTRIPÔLE CHÂLONS,ZAC VAL DE BOURGOGNE,SEVREY CEDEX,71311,FR</t>
  </si>
  <si>
    <t>AMAZON-STR1</t>
  </si>
  <si>
    <t>AMAZONSTRASSE,1,PFORZHEIM,75177,DE</t>
  </si>
  <si>
    <t>AMAZON-XCD1</t>
  </si>
  <si>
    <t>50 BOULEVARD,DE L EUROPE,COMBS-LA-VILLE,77380,FR</t>
  </si>
  <si>
    <t>AMAZON-XOR1</t>
  </si>
  <si>
    <t>PARC D’ACTIVITÉ DE L’A5,2449 RUE DENIS PAPIN,RÉAU,77550,FR</t>
  </si>
  <si>
    <t>AMAZON-BVA1</t>
  </si>
  <si>
    <t>JULES VERNE BUSINESS,PARK,AMIENS CEDEX,80337,FR</t>
  </si>
  <si>
    <t>AMAZON-XWR3</t>
  </si>
  <si>
    <t>HAMBURGER STRASSE,99,NURNBERG,90451,DE</t>
  </si>
  <si>
    <t>AMAZON-MAD9</t>
  </si>
  <si>
    <t>CAMINO DE LOS AFLIGIDOSALCALA DE,HENARES,MADRID,28804,ES</t>
  </si>
  <si>
    <t>AMAZON-DTM3</t>
  </si>
  <si>
    <t>WARMBREITBANDSTRASSE,3,DORTMUND,44145,DE</t>
  </si>
  <si>
    <t>AMAZON-VLC1</t>
  </si>
  <si>
    <t>CALLE PANAMA,28ONDA,CASTELLON,12200,ES</t>
  </si>
  <si>
    <t>AMAZON-LEJ5</t>
  </si>
  <si>
    <t>AM STEINGARTEN,2,GERA,07554,DE</t>
  </si>
  <si>
    <t>AMAZON-BRE4</t>
  </si>
  <si>
    <t>MAX-NAUMANN-STRASSE,1,ACHIM,28832,DE</t>
  </si>
  <si>
    <t>AMAZON-HAM2</t>
  </si>
  <si>
    <t>BORGWARDSTRASSE,10,WINSEN AN DER LUHE,21423,DE</t>
  </si>
  <si>
    <t>AMAZON-BCN1</t>
  </si>
  <si>
    <t>AV. DE LES GARRIGUES 6-8,EL PRAT DE LLOBREGAT,BARCELONA,08820,ES</t>
  </si>
  <si>
    <t>AMAZON-XFRN</t>
  </si>
  <si>
    <t>7 RUE DES QUATRES ROUTES,GEODISST,QUENTIN FALLAVIER,38070,FR</t>
  </si>
  <si>
    <t>AMAZON-RMU1</t>
  </si>
  <si>
    <t>CALLE ISIDRO VIVANCOS MUNOZPARQUE,LOGISTICO DEL SURESTE,MURCIA,30156,ES</t>
  </si>
  <si>
    <t>AMAZON-XOS1</t>
  </si>
  <si>
    <t>160 RUE DE,CORBEHEM,BREBIERES,62117,FR</t>
  </si>
  <si>
    <t>AMAZON-XDEA</t>
  </si>
  <si>
    <t>ROBERT-GUTHMANN-STR.,30,KOENIGS WUSTERHAUSEN,15713,DE</t>
  </si>
  <si>
    <t>AMAZON-WRO1</t>
  </si>
  <si>
    <t>AMAZON-LIL8</t>
  </si>
  <si>
    <t>2 RUE DE LA,PLAINE,LAUWIN PLANQUE,59553,FR</t>
  </si>
  <si>
    <t>AMAZON-ETZ2</t>
  </si>
  <si>
    <t>1, RUE DE LA CROIX DE,LORRAINE,AUGNY,57685,FR</t>
  </si>
  <si>
    <t>AMAZON-WRO5[PL]</t>
  </si>
  <si>
    <t>CHOJNOWOKMIANY,DOLNOSLASKIE VOIVODESHIP,OKMIANY,59225,PL</t>
  </si>
  <si>
    <t>AMAZON-LIL1</t>
  </si>
  <si>
    <t>1.RUE AMAZON,LAUWIN PLANQUE CEDEX,59353,FR</t>
  </si>
  <si>
    <t>AMAZON-XPO1</t>
  </si>
  <si>
    <t>AMAZON-XWR1</t>
  </si>
  <si>
    <t>AMAZON-MHG9</t>
  </si>
  <si>
    <t>OSSENHEIMER STRASSE,7,KLEINOSTHEIM,63801,DE</t>
  </si>
  <si>
    <t>AMAZON-XPO1[04758]</t>
  </si>
  <si>
    <t xml:space="preserve"> Am Zeugamt 6 Oschatz,Saxony 04758,DE</t>
  </si>
  <si>
    <t>AMAZON-XWR3[04758]</t>
  </si>
  <si>
    <t>AM ZEUGAMT,4,OSCHATZ,04758,DE</t>
  </si>
  <si>
    <t>SHEIN樱桃仓92223-SHEIN CA[92223]</t>
  </si>
  <si>
    <t>36312,CHERRY VALLEY BLVD,BEAUMONT,CA 92223,US</t>
  </si>
  <si>
    <t>SHEIN中部仓46075-SHEIN IN[46075]</t>
  </si>
  <si>
    <t>INDIANA Whitestown Building 4,5400 E. 500 S,Whitestown,lN 46075</t>
  </si>
  <si>
    <t>一件代发-ZM小件仓CA[91746]</t>
  </si>
  <si>
    <t>14273 Don Julian Road,City of Industry,CA 91746</t>
  </si>
  <si>
    <t>一件代发-ZM美中仓MO[64058]</t>
  </si>
  <si>
    <t>1600 N State Route 291 Suite 250,Independence,MO 64058,US</t>
  </si>
  <si>
    <t>AMAZON-BNA6</t>
  </si>
  <si>
    <t>3875 GUTHRIE HWY,CLARKSVILLE,TN 37040-5502,US</t>
  </si>
  <si>
    <t>EQ海外仓-EQ CA[91710]</t>
  </si>
  <si>
    <t>14235 Ramona ave,chino,CA 91710,US</t>
  </si>
  <si>
    <t>AMAZON-LBE1</t>
  </si>
  <si>
    <t>165 GLENN FOX RD,NEW STANTON,PA 15672-9703-US</t>
  </si>
  <si>
    <t>AMAZON-ABQ2</t>
  </si>
  <si>
    <t>6251 Pioneer Trail,LOS LUNAS,NM 87031,US</t>
  </si>
  <si>
    <t>无忧达-JW YVR</t>
  </si>
  <si>
    <t>6160 Kenway Drive, Mississauga,On L5T2N3,CA</t>
  </si>
  <si>
    <t>AMAZON-LAN2</t>
  </si>
  <si>
    <t>6500 W Mt Hope Hwy,LANSING,MI 48917,US</t>
  </si>
  <si>
    <t>AMAZON-PSC2</t>
  </si>
  <si>
    <t>1351 S Road 40 E,PASCO,WA 99301,US</t>
  </si>
  <si>
    <t>WALMART-IND2T[沃]</t>
  </si>
  <si>
    <t>9360 AllPoints Pkwy.Suite 162,Plainfield,IN 46168,US</t>
  </si>
  <si>
    <t>WALMART-CVG1n[沃]</t>
  </si>
  <si>
    <t>650 Gateway Blvd,Monroe,OH 45050,US</t>
  </si>
  <si>
    <t>AMAZON-RDU4</t>
  </si>
  <si>
    <t>6309 Bragg Blvd,FAYETTEVILLE,NC 28303,US</t>
  </si>
  <si>
    <t>AMAZON-IUSQ[AWD]</t>
  </si>
  <si>
    <t>2125 W San Bernardino Ave,REDLANDS,CA 92374-United States</t>
  </si>
  <si>
    <t>AMAZON-TMB8</t>
  </si>
  <si>
    <t>27505 SW 132nd AVE,HOMESTEAD,FL 33032-8597,United states</t>
  </si>
  <si>
    <t>一件代发-ZM CA[91764]</t>
  </si>
  <si>
    <t>5556 ONTARIO MILLS PKWY,Ontario,CA 91764,USA</t>
  </si>
  <si>
    <t>AMAZON-WBW2</t>
  </si>
  <si>
    <t>1300 Corporate Way,OLYPHANT,PA 18447,US</t>
  </si>
  <si>
    <t>AMAZON-DPX1</t>
  </si>
  <si>
    <t>500 S 48th St,Phoenix,AZ 85034,US</t>
  </si>
  <si>
    <t>AMAZON-PCA1</t>
  </si>
  <si>
    <t>7700 W Fillmore St,Phoenix,AZ 85043,US</t>
  </si>
  <si>
    <t>AMAZON-DCA2</t>
  </si>
  <si>
    <t>5250 Goodman Way,Eastvale,CA 91752,US</t>
  </si>
  <si>
    <t>AMAZON-DLA9</t>
  </si>
  <si>
    <t>2900 Alton Pkwy,lrvine,CA 92606,US</t>
  </si>
  <si>
    <t>AMAZON-DSF3</t>
  </si>
  <si>
    <t>1700 Montague Expy,San Jose,CA 95131,US</t>
  </si>
  <si>
    <t>AMAZON-ONT7</t>
  </si>
  <si>
    <t>2020 E Central Ave,San Bernardino,CA 92408,US</t>
  </si>
  <si>
    <t>AMAZON-SJC8</t>
  </si>
  <si>
    <t>46724 Lakeview Blvd,Fremont,CA 94538,US</t>
  </si>
  <si>
    <t>AMAZON-SLA5</t>
  </si>
  <si>
    <t>AMAZON-UCA5</t>
  </si>
  <si>
    <t>3334 N. San Fernando Road,Los Angeles,CA 90065,US</t>
  </si>
  <si>
    <t>AMAZON-USC1</t>
  </si>
  <si>
    <t>3640 Ramos Dr,WEST SACRAMENTO,CA 95691,US</t>
  </si>
  <si>
    <t>AMAZON-XIX2</t>
  </si>
  <si>
    <t>AMAZON-XIX6</t>
  </si>
  <si>
    <t>10681 Production Ave,San Bernardino,CA 92337,US</t>
  </si>
  <si>
    <t>AMAZON-XUSD</t>
  </si>
  <si>
    <t>1909 Zephyr St,Stockton,CA 95206,US</t>
  </si>
  <si>
    <t>AMAZON-DDV5</t>
  </si>
  <si>
    <t>2889 Himalaya Dr,Aurora,CO 80011,US</t>
  </si>
  <si>
    <t>AMAZON-DEN4</t>
  </si>
  <si>
    <t>4222 Integration Loop,COLORADO SPRINGS,CO 80916,US</t>
  </si>
  <si>
    <t>AMAZON-GGE3</t>
  </si>
  <si>
    <t>14601 Grant St,Broomfield,CO 80023,US</t>
  </si>
  <si>
    <t>AMAZON-JAX7</t>
  </si>
  <si>
    <t>10501 Cold Storage Rd,JACKSONVILLE,FL 32218,US</t>
  </si>
  <si>
    <t>AMAZON-MIA1</t>
  </si>
  <si>
    <t>14000 NW 37th Avenue,Opa-Locka,FL 33054,US</t>
  </si>
  <si>
    <t>AMAZON-XEW2</t>
  </si>
  <si>
    <t>6855 SHANNON PKWY,UNION CITY,GA 30291,US</t>
  </si>
  <si>
    <t>AMAZON-DSM5</t>
  </si>
  <si>
    <t>500 32nd Street SW,BONDURANT,IA 50035,US</t>
  </si>
  <si>
    <t>AMAZON-IND7</t>
  </si>
  <si>
    <t>9101 Orly Drive,Indianapolis,IN 46241,US</t>
  </si>
  <si>
    <t>AMAZON-MCI1亚</t>
  </si>
  <si>
    <t>113th St and Renner Blvd,Lenexa,KS 66219,US</t>
  </si>
  <si>
    <t>AMAZON-IVSB</t>
  </si>
  <si>
    <t>3521 Point Pleasant Rd,Hebron,KY 41048, US</t>
  </si>
  <si>
    <t>AMAZON-BOS2</t>
  </si>
  <si>
    <t>1000 Tech Centre,Dr Stoughton,Massachusetts,MA 02072,US</t>
  </si>
  <si>
    <t>AMAZON-DTW1</t>
  </si>
  <si>
    <t>32801 Ecorse Rd.,Romulus,MI 48174,US</t>
  </si>
  <si>
    <t>AMAZON-DTW5</t>
  </si>
  <si>
    <t>19991 Brownstown Center Dr,Brownstown,Charter Twp,MI 48183,US</t>
  </si>
  <si>
    <t>AMAZON-SMI1</t>
  </si>
  <si>
    <t>1400 E 10 MILE RD,HAZEL PARK,MI 48030,US</t>
  </si>
  <si>
    <t>AMAZON-MSP6</t>
  </si>
  <si>
    <t>9800 217th Street West,LAKEVILLE,MN 55044,US</t>
  </si>
  <si>
    <t>AMAZON-MEM2</t>
  </si>
  <si>
    <t>191 NORFOLK SOUTHERN WAY,BYHALIA,MS 38611,US</t>
  </si>
  <si>
    <t>AMAZON-EWR5</t>
  </si>
  <si>
    <t>301 Blair Road #100,Avenel,NJ 07001,US</t>
  </si>
  <si>
    <t>AMAZON-IVSC</t>
  </si>
  <si>
    <t>1225 Forest Pkwy,West Deptford,NJ 08066,US</t>
  </si>
  <si>
    <t>AMAZON-IVSD</t>
  </si>
  <si>
    <t>800 Arlington Blvd,Swedesboro,NJ 08085,US</t>
  </si>
  <si>
    <t>AMAZON-LGA9</t>
  </si>
  <si>
    <t>2170 Route 27,Edison,NJ 08817,US</t>
  </si>
  <si>
    <t>AMAZON-IVSE</t>
  </si>
  <si>
    <t>2951 MARION DR UNIT 101,LAS VEGAS,NV 89115,US</t>
  </si>
  <si>
    <t>AMAZON-IVSF</t>
  </si>
  <si>
    <t>2951 Marion Dr,Unit 109 North,Las Vegas,NV 89115,US</t>
  </si>
  <si>
    <t>AMAZON-RNO1</t>
  </si>
  <si>
    <t>1600 East Newlands Drive,Fernley,NV 89408,US</t>
  </si>
  <si>
    <t>AMAZON-BUF5</t>
  </si>
  <si>
    <t>4201 Walden Ave,Lancaster,NY 14086,US</t>
  </si>
  <si>
    <t>AMAZON-CLE2</t>
  </si>
  <si>
    <t>21500 Emery Rd,Randall,OH 44128,US</t>
  </si>
  <si>
    <t>AMAZON-CMH4</t>
  </si>
  <si>
    <t>1550 W Main St,West Jefferson,OH 43162,US</t>
  </si>
  <si>
    <t>AMAZON-CMH7</t>
  </si>
  <si>
    <t>1245 Beech Rd SW,New Albany,OH 43054,US</t>
  </si>
  <si>
    <t>AMAZON-AVP2</t>
  </si>
  <si>
    <t>298 First Ave,Covington Township,PA 18424,US</t>
  </si>
  <si>
    <t>AMAZON-AVP6</t>
  </si>
  <si>
    <t>1 Commerce Rd,Pittston,PA 18640,US</t>
  </si>
  <si>
    <t>AMAZON-HEA2</t>
  </si>
  <si>
    <t>311Ella St,PITTSBURGH,PA 15224,US</t>
  </si>
  <si>
    <t>AMAZON-PHL9</t>
  </si>
  <si>
    <t>2 Ames Dr,Carlisle,PA 17015,US</t>
  </si>
  <si>
    <t>AMAZON-PIT1</t>
  </si>
  <si>
    <t>2250 Roswell Dr,Pittsburgh,PA 15205,US</t>
  </si>
  <si>
    <t>AMAZON-VUBA</t>
  </si>
  <si>
    <t>1000 Keystone Industrial Park,Scranton,PA 18512,US</t>
  </si>
  <si>
    <t>AMAZON-VUGA</t>
  </si>
  <si>
    <t>508 Delaware Ave,West Pittston,PA 18643,US</t>
  </si>
  <si>
    <t>AMAZON-BNA4</t>
  </si>
  <si>
    <t>50 Airways Blvd,Nashville,TN 37217,US</t>
  </si>
  <si>
    <t>AMAZON-MEM4</t>
  </si>
  <si>
    <t>4055 NEW ALLEN RD,MEMPHIS,TN 38128,US</t>
  </si>
  <si>
    <t>AMAZON-IAH1</t>
  </si>
  <si>
    <t>9155 SOUTHLINK DR,DALLAS,TX 75241,US</t>
  </si>
  <si>
    <t>AMAZON-ITX1</t>
  </si>
  <si>
    <t>9851 Fallbrook Pines,Houston,TX 77064,US</t>
  </si>
  <si>
    <t>AMAZON-ITX2</t>
  </si>
  <si>
    <t>6811 Fairbanks N Houston Road,Houston,TX 77040,US</t>
  </si>
  <si>
    <t>AMAZON-BFI5</t>
  </si>
  <si>
    <t>Building B,20526 59th Pi S,Kent,WA 98032,US</t>
  </si>
  <si>
    <t>AMAZON-BFI9</t>
  </si>
  <si>
    <t>3230 INTERNATIONAL PL,DUPONT,WA 98327,US</t>
  </si>
  <si>
    <t>AMAZON-MKE2</t>
  </si>
  <si>
    <t>9700 S 13th Street,OAK CREEK,WI 53154,US</t>
  </si>
  <si>
    <t>AMAZON-DTM9</t>
  </si>
  <si>
    <t>BrauckstraBe 30,Nordrhein-Westfalen,Witten 58454,DE</t>
  </si>
  <si>
    <t>AMAZON-PBI3</t>
  </si>
  <si>
    <t>7600 LTC Parkway,PORT SAINT LUCIE,FL 34986,US</t>
  </si>
  <si>
    <t>AMAZON-RYY2</t>
  </si>
  <si>
    <t>1250 Cassville White Road,White,GA 30184,US</t>
  </si>
  <si>
    <t>一件代发-ZM加拿大[L4G0H6]</t>
  </si>
  <si>
    <t>66 Don Hillock Dr,Aurora,ON L4G0H6,CA</t>
  </si>
  <si>
    <t>一件代发-ZM大件仓CA[90058]</t>
  </si>
  <si>
    <t>4900 LoMa Vista Ave,Vernon,CA 90058,US</t>
  </si>
  <si>
    <t>AMAZON-HIA1</t>
  </si>
  <si>
    <t>3327 E Harrisburg Pik,MIDDLETOWN,PA 17057,US</t>
  </si>
  <si>
    <t>一件代发-JC CA[91710]</t>
  </si>
  <si>
    <t>14210 Telephone Ave,Chino,CA 91710,US</t>
  </si>
  <si>
    <t>AMAZON-HGR6</t>
  </si>
  <si>
    <t>55 West Oak Ridge Drive,HAGERSTOWN,MD 21740-7301,US</t>
  </si>
  <si>
    <t>AMAZON-MIT2</t>
  </si>
  <si>
    <t>5408 Express Avenue,SHAFTER,CA 93263,US</t>
  </si>
  <si>
    <t>AMAZON-GEU3</t>
  </si>
  <si>
    <t>18900 W McDowell Road,BUCKEYE,AZ 85396,US</t>
  </si>
  <si>
    <t>AMAZON-IUSF[AWD]</t>
  </si>
  <si>
    <t>3351 Balmorhea Dr.,DALLAS TX 75241,US</t>
  </si>
  <si>
    <t>一件代发-ZM小件仓NJ[07094]</t>
  </si>
  <si>
    <t>585 Windsor Dr,Secaucus,NJ 07094,US</t>
  </si>
  <si>
    <t>AMAZON-TRN3</t>
  </si>
  <si>
    <t>Str.John Fitzgerald Kennedy,Alessandria 15122,Piedmont,Italy</t>
  </si>
  <si>
    <t>AMAZON-KSF7</t>
  </si>
  <si>
    <t>Otto-Hahn-Strasse 3,34466 Wolfhagen,DE</t>
  </si>
  <si>
    <t>AMAZON-JOT1</t>
  </si>
  <si>
    <t>1494 S WATERMAN AVE,SAN BERNARDINO,CA 92408,US</t>
  </si>
  <si>
    <t>AMAZON-QXY5</t>
  </si>
  <si>
    <t>4532 NEWCASTLE RD,STOCKTON,CA 95215-9465,US</t>
  </si>
  <si>
    <t>AMAZON-GEU5</t>
  </si>
  <si>
    <t>4660 North Cotton Lane,GOODYEAR,AZ 85395,US</t>
  </si>
  <si>
    <t>AMAZON-GEU2</t>
  </si>
  <si>
    <t>15301 West Northern Avenue,Glendale,AZ 85307,US</t>
  </si>
  <si>
    <t>WALMART-PHL1s[沃]</t>
  </si>
  <si>
    <t>3215 Commerce Center Blvd,Bethlehem,PA 18015,US</t>
  </si>
  <si>
    <t>AMAZON-IUST[AWD]</t>
  </si>
  <si>
    <t>15651 Greenmount Rd,GREENCASTLE,PA 17225,US</t>
  </si>
  <si>
    <t>AMAZON-RLG1</t>
  </si>
  <si>
    <t>Gewerbepark Ostsee 3 18196,Dummerstorf,Mecklenburg,Vorpommern,DE</t>
  </si>
  <si>
    <t>AMAZON-XRI3</t>
  </si>
  <si>
    <t>4949 Commerce Rd,RICHMOND,VA 23234,US</t>
  </si>
  <si>
    <t>AMAZON-XOR2</t>
  </si>
  <si>
    <t>Geodis AFT-X Satolas,Satolas,Parc des Chenes Nord,Rue du Brisson, Batiment IDC9,Satolas-et-Bonce, Rhone-Alpes 38290 FR</t>
  </si>
  <si>
    <t>一件代发-ZM美西仓[91746LB]</t>
  </si>
  <si>
    <t>14243 Don Julian Road, City of Industry,CA  91746LB,US</t>
  </si>
  <si>
    <t>一件代发-ZM美东仓NJ[07008]</t>
  </si>
  <si>
    <t>120 RASKULINECZ RD.,CARTERET,NJ 07008,US</t>
  </si>
  <si>
    <t>AMAZON-LBA8</t>
  </si>
  <si>
    <t>Unit 3,Logic Leeds Skelton Moor Way,LS150BF,Leeds,UK</t>
  </si>
  <si>
    <t>AMAZON-XDEV</t>
  </si>
  <si>
    <t>Groner Siekanger 3 Building A/north37081,Goettingen,Niedersachsen,DE</t>
  </si>
  <si>
    <t>WALMART-DFW6s[沃]</t>
  </si>
  <si>
    <t>14700 Blue Mound Rd,Fort Worth,TX 76052,US</t>
  </si>
  <si>
    <t>AMAZON-PPO4</t>
  </si>
  <si>
    <t>9850 Mississippi Street,MERRILLVILLE,IN 46410,US</t>
  </si>
  <si>
    <t>AMAZON-STR2</t>
  </si>
  <si>
    <t>Oggenhauser Hauptstrasse 151 Heidenheim an der Brenz,Baden Wurttemberg 89522,DE</t>
  </si>
  <si>
    <t>AMAZON-XMP2</t>
  </si>
  <si>
    <t>Geodis Logistics SpA Via Aldo Moro 4,Francolino di Carpiano,Carpiano 20074,IT</t>
  </si>
  <si>
    <t>AMAZON-EMA3</t>
  </si>
  <si>
    <t>Amazon EU SARL  UK 10 Oyster Road Eastwood Nottingham,Nottinghamshire UK NG16 3UA GB</t>
  </si>
  <si>
    <t>AMAZON-EL96</t>
  </si>
  <si>
    <t>10 sigle lane,unit b,Dayton,NJ 08810,US</t>
  </si>
  <si>
    <t>AMAZON-GGE1</t>
  </si>
  <si>
    <t>217 Patriot Place,Foxborough,MA 02035,US</t>
  </si>
  <si>
    <t>AMAZON-GGE2</t>
  </si>
  <si>
    <t>134 Main Street Port,Jefferson,NY 11777,US</t>
  </si>
  <si>
    <t>55 N. Main Street,Norwalk,CT 06854,US</t>
  </si>
  <si>
    <t>AMAZON-GGE4</t>
  </si>
  <si>
    <t>34 Middle Neck Road,Great Neck,NY 11021,US</t>
  </si>
  <si>
    <t>AMAZON-GGE5</t>
  </si>
  <si>
    <t>837 Franklin Avenue,Garden City,NY 11530,US</t>
  </si>
  <si>
    <t>AMAZON-GGE6</t>
  </si>
  <si>
    <t>265 Market Street #2040,Yonkers,NY 10710,US</t>
  </si>
  <si>
    <t>AMAZON-GGE7</t>
  </si>
  <si>
    <t>329 Greenwich Street,New York,NY 10013,US</t>
  </si>
  <si>
    <t>AMAZON-GGE8</t>
  </si>
  <si>
    <t>2920 District Ave,#100 Fairfax,VA 22031,US</t>
  </si>
  <si>
    <t>AMAZON-LFSI</t>
  </si>
  <si>
    <t>761 Fifth Ave.,King of Prussia,PA 19406,US</t>
  </si>
  <si>
    <t>AMAZON-XHH3</t>
  </si>
  <si>
    <t>130 Pinder Point Rd,Savannah,GA 31407,US</t>
  </si>
  <si>
    <t>AMAZON-IUSR[AWD]</t>
  </si>
  <si>
    <t>1120 Mt Olive Rd,COWPENS,SC 29330,US</t>
  </si>
  <si>
    <t>AMAZON-POC3</t>
  </si>
  <si>
    <t>6120 Clinker Drive,JURUPA VALLEY,CA 92509,US</t>
  </si>
  <si>
    <t>AMAZON-POC1</t>
  </si>
  <si>
    <t>4121 LYTLE CREEK RD,FONTANA,CA 92336-1123,US</t>
  </si>
  <si>
    <t>一件代发-ZM CA[90058]LB</t>
  </si>
  <si>
    <t>4519 Everett Ave,Vernon,CA 90058,US</t>
  </si>
  <si>
    <t>AMAZON-FWA6</t>
  </si>
  <si>
    <t>5510 Flaugh Road,Fort Wayne,IN 46818,US</t>
  </si>
  <si>
    <t>AMAZON-SBD6</t>
  </si>
  <si>
    <t>4707 S. Baker Ave,Ontario,CA 91761,US</t>
  </si>
  <si>
    <t>AMAZON-ABQ1</t>
  </si>
  <si>
    <t>12907 Tempur Pedic Pkwy.,ALBUQUERQUE,NW 87120,US</t>
  </si>
  <si>
    <t>AMAZON-XMI3</t>
  </si>
  <si>
    <t>1775 Enterprise Drive,Memphis,TN  38134,US</t>
  </si>
  <si>
    <t>AMAZON-SAV4</t>
  </si>
  <si>
    <t>800 Pine Meadow Dr,Pooler,GA 31322,US</t>
  </si>
  <si>
    <t>AMAZON-AGS1</t>
  </si>
  <si>
    <t>2150 Discovery Drive,Appling,GA 30802,US</t>
  </si>
  <si>
    <t>AMAZON-TLH2</t>
  </si>
  <si>
    <t>2635 Vineland Driver,Leon,Tallahassee,FL 32308,US</t>
  </si>
  <si>
    <t>AMAZON-TPA4</t>
  </si>
  <si>
    <t>8727 Harney Road,Temple Terrace,FL 33637,US</t>
  </si>
  <si>
    <t>AMAZON-FSD1</t>
  </si>
  <si>
    <t>6700 N Marion Rd,Sioux Falls,SD 57107,US</t>
  </si>
  <si>
    <t>AMAZON-IGQ1</t>
  </si>
  <si>
    <t>15924 WESTERN AVE,MARKHAM,IL 60428,US</t>
  </si>
  <si>
    <t>AMAZON-MLI1</t>
  </si>
  <si>
    <t>2022 Research Parkway,Davenport,IA 52806,US</t>
  </si>
  <si>
    <t>AMAZON-OMA2</t>
  </si>
  <si>
    <t>14248 HIGHWAY 370,OMAHA,NE 68138,US</t>
  </si>
  <si>
    <t>AMAZON-ORD5</t>
  </si>
  <si>
    <t>7001 VOLLMER RD,MATTESON,IL 60443,US</t>
  </si>
  <si>
    <t>AMAZON-MTN1</t>
  </si>
  <si>
    <t>801 BOXWOOD RD,WILMINGTON,DE 19804,US</t>
  </si>
  <si>
    <t>AMAZON-ORF3</t>
  </si>
  <si>
    <t>2020 NORTHGATE COMMERCE PKWY,SUFFOLK,VT 23435,US</t>
  </si>
  <si>
    <t>AMAZON-RIC4</t>
  </si>
  <si>
    <t>5901 Richmond Henrico Turnpike,Richmond,VA 23227,US</t>
  </si>
  <si>
    <t>AMAZON-AGS2</t>
  </si>
  <si>
    <t>429 Toy Wright Rd.,Jefferson,GA 30549,US</t>
  </si>
  <si>
    <t>AMAZON-BTR1</t>
  </si>
  <si>
    <t>9001 Cortana Place,Baton Rouge,LA 70815,US</t>
  </si>
  <si>
    <t>AMAZON-MQY1</t>
  </si>
  <si>
    <t>6060 GOLDEN BEAR GTWY,MOUNT JULIET,TN 37122,US</t>
  </si>
  <si>
    <t>AMAZON-TYS1</t>
  </si>
  <si>
    <t>4101 S Singleton Station Rd,Alcoa,Rockford,TN 37853,US</t>
  </si>
  <si>
    <t>AMAZON-DET3</t>
  </si>
  <si>
    <t>1200 Featherstone Road,Pontiac,MI 48342,US</t>
  </si>
  <si>
    <t>AMAZON-DET6</t>
  </si>
  <si>
    <t>20110 Woodward Ave,Detroit,MI 48203,US</t>
  </si>
  <si>
    <t>AMAZON-LUK2</t>
  </si>
  <si>
    <t>10791 DOG LEG RD,VANDALIA,OH 45377,US</t>
  </si>
  <si>
    <t>AMAZON-BDL4</t>
  </si>
  <si>
    <t>1215 KENNEDY RD,WINDSOR,CT 06095,US</t>
  </si>
  <si>
    <t>AMAZON-BOS3</t>
  </si>
  <si>
    <t>1600 Osgood St.,North Andover,MA 01845,US</t>
  </si>
  <si>
    <t>AMAZON-ROC1</t>
  </si>
  <si>
    <t>2600 Manitou Road,Gates,Rochester,NY 14624,US</t>
  </si>
  <si>
    <t>AMAZON-SYR1</t>
  </si>
  <si>
    <t>7211 Morgan Road,Liverpool,Clay,NY 13090,US</t>
  </si>
  <si>
    <t>AMAZON-PAE2</t>
  </si>
  <si>
    <t>4983-4931 172nd St NE,Arlington,WA 98223,US</t>
  </si>
  <si>
    <t>AMAZON-OXR1</t>
  </si>
  <si>
    <t>3100 Sakioka Dr,OXNARD,CA 93030,US</t>
  </si>
  <si>
    <t>AMAZON-PSP1</t>
  </si>
  <si>
    <t>1010 West Fourth Street,Beaumont,CA 92223,US</t>
  </si>
  <si>
    <t>AMAZON-SAN3</t>
  </si>
  <si>
    <t>6971 OTAY MESA RD,SAN DIEGO,CA 92154,US</t>
  </si>
  <si>
    <t>AMAZON-SCK6</t>
  </si>
  <si>
    <t>500 E Grant Line Rd,Tracy,CA 95304,US</t>
  </si>
  <si>
    <t>AMAZON-VGT1</t>
  </si>
  <si>
    <t>5802 E Tropical Parkway,LAS VEGAS,NV 89115,US</t>
  </si>
  <si>
    <t>AMAZON-AUS2</t>
  </si>
  <si>
    <t>2000 E PECAN ST,PFLUGERVILLE,TX 78660,US</t>
  </si>
  <si>
    <t>AMAZON-AUS3</t>
  </si>
  <si>
    <t>1618 EXCHANGE PKWY,WACO,TX 76712,US</t>
  </si>
  <si>
    <t>AMAZON-ELP1</t>
  </si>
  <si>
    <t>2101 EMERALD PASS DR,EL PASO,TX 79928,US</t>
  </si>
  <si>
    <t>AMAZON-HOU6</t>
  </si>
  <si>
    <t>10507 HARLEM RD,RICHMOND,TX 77407,US</t>
  </si>
  <si>
    <t>AMAZON-SAT3</t>
  </si>
  <si>
    <t>6806 Cal Turner Drive,Bexar,San Antonio,TX 78220,US</t>
  </si>
  <si>
    <t>AMAZON-XBN3</t>
  </si>
  <si>
    <t>2400 Stateline Rd W,Southaven,MS 38671,US</t>
  </si>
  <si>
    <t>AMAZON-HLI2</t>
  </si>
  <si>
    <t>600 Ernie Drive,HOLLISTER,CA 95023,US</t>
  </si>
  <si>
    <t>AMAZON-TCY2</t>
  </si>
  <si>
    <t>6201 Newcastle Rd,STOCKTON,CA 95215,US</t>
  </si>
  <si>
    <t>AMAZON-TCY5</t>
  </si>
  <si>
    <t>Promontory Pkwy,Tracy,CA 95377,US</t>
  </si>
  <si>
    <t>AMAZON-TCY9</t>
  </si>
  <si>
    <t>4500 Wilbur Ave,Oakley,CA 94561,US</t>
  </si>
  <si>
    <t>AMAZON-SCN2</t>
  </si>
  <si>
    <t>Von Miller Straße 24,Kaiserslautern,Rhineland Palatinate,67661,Germany</t>
  </si>
  <si>
    <t>AMAZON-TCY1</t>
  </si>
  <si>
    <t>2690 East Arch Airport Road,STOCKTON,CA 95206,US</t>
  </si>
  <si>
    <t>AMAZON-XCH2</t>
  </si>
  <si>
    <t>2150 Dean Forest Road,Garden City,GA 31408,US</t>
  </si>
  <si>
    <t>AMAZON-POC2</t>
  </si>
  <si>
    <t>4000 South Hamner Avenue,ONTARIO,CA 91761,US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</si>
</sst>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9">
    <font>
      <sz val="12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color rgb="FF0070C0"/>
      <name val="宋体"/>
      <charset val="134"/>
    </font>
    <font>
      <sz val="12"/>
      <color rgb="FF0070C0"/>
      <name val="宋体"/>
      <charset val="134"/>
    </font>
    <font>
      <b/>
      <sz val="30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b/>
      <sz val="15"/>
      <color rgb="FF0070C0"/>
      <name val="宋体"/>
      <charset val="134"/>
    </font>
    <font>
      <b/>
      <sz val="15"/>
      <name val="宋体"/>
      <charset val="0"/>
      <scheme val="minor"/>
    </font>
    <font>
      <b/>
      <sz val="15"/>
      <name val="宋体"/>
      <charset val="134"/>
    </font>
    <font>
      <b/>
      <sz val="10"/>
      <name val="宋体"/>
      <charset val="134"/>
    </font>
    <font>
      <sz val="10"/>
      <name val="Arial"/>
      <charset val="134"/>
    </font>
    <font>
      <b/>
      <sz val="15"/>
      <color rgb="FFFF0000"/>
      <name val="宋体"/>
      <charset val="134"/>
    </font>
    <font>
      <sz val="10"/>
      <color rgb="FF333333"/>
      <name val="Arial"/>
      <charset val="134"/>
    </font>
    <font>
      <sz val="10"/>
      <color indexed="8"/>
      <name val="Arial"/>
      <charset val="134"/>
    </font>
    <font>
      <sz val="10"/>
      <color rgb="FFFF0000"/>
      <name val="Arial"/>
      <charset val="134"/>
    </font>
    <font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sz val="10"/>
      <color rgb="FF00B0F0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b/>
      <sz val="12"/>
      <color rgb="FFC00000"/>
      <name val="宋体"/>
      <charset val="134"/>
    </font>
    <font>
      <sz val="12"/>
      <color rgb="FFC00000"/>
      <name val="宋体"/>
      <charset val="134"/>
    </font>
    <font>
      <sz val="18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9" borderId="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2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11" borderId="12" applyNumberFormat="0" applyAlignment="0" applyProtection="0">
      <alignment vertical="center"/>
    </xf>
    <xf numFmtId="0" fontId="31" fillId="12" borderId="14" applyNumberFormat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/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60">
    <xf numFmtId="0" fontId="0" fillId="0" borderId="0" xfId="0">
      <alignment vertical="center"/>
    </xf>
    <xf numFmtId="0" fontId="1" fillId="2" borderId="0" xfId="0" applyFont="1" applyFill="1" applyAlignment="1" applyProtection="1">
      <protection locked="0"/>
    </xf>
    <xf numFmtId="0" fontId="0" fillId="2" borderId="0" xfId="0" applyFont="1" applyFill="1">
      <alignment vertical="center"/>
    </xf>
    <xf numFmtId="0" fontId="2" fillId="0" borderId="0" xfId="0" applyFont="1" applyFill="1" applyAlignment="1" applyProtection="1">
      <protection locked="0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ont="1" applyFill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Protection="1">
      <alignment vertical="center"/>
    </xf>
    <xf numFmtId="0" fontId="0" fillId="0" borderId="0" xfId="0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8" fillId="5" borderId="3" xfId="0" applyFont="1" applyFill="1" applyBorder="1" applyAlignment="1" applyProtection="1">
      <alignment horizontal="center" vertical="center" wrapText="1"/>
      <protection locked="0"/>
    </xf>
    <xf numFmtId="0" fontId="8" fillId="5" borderId="4" xfId="0" applyFont="1" applyFill="1" applyBorder="1" applyAlignment="1" applyProtection="1">
      <alignment horizontal="center" vertical="center" wrapText="1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6" applyFont="1" applyBorder="1" applyAlignment="1" applyProtection="1">
      <alignment horizontal="center" vertical="center"/>
      <protection locked="0"/>
    </xf>
    <xf numFmtId="0" fontId="10" fillId="6" borderId="1" xfId="6" applyFont="1" applyFill="1" applyBorder="1" applyAlignment="1" applyProtection="1">
      <alignment horizontal="center" vertical="center"/>
      <protection locked="0"/>
    </xf>
    <xf numFmtId="0" fontId="10" fillId="0" borderId="1" xfId="6" applyFont="1" applyBorder="1" applyAlignment="1" applyProtection="1">
      <alignment horizontal="center" vertical="center" wrapText="1"/>
    </xf>
    <xf numFmtId="0" fontId="10" fillId="6" borderId="1" xfId="6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</xf>
    <xf numFmtId="0" fontId="12" fillId="5" borderId="5" xfId="0" applyFont="1" applyFill="1" applyBorder="1" applyAlignment="1" applyProtection="1">
      <alignment horizontal="center" vertical="center" wrapText="1"/>
      <protection locked="0"/>
    </xf>
    <xf numFmtId="0" fontId="12" fillId="7" borderId="5" xfId="0" applyNumberFormat="1" applyFont="1" applyFill="1" applyBorder="1" applyAlignment="1" applyProtection="1">
      <alignment horizontal="center" vertical="center" wrapText="1"/>
      <protection locked="0"/>
    </xf>
    <xf numFmtId="0" fontId="12" fillId="7" borderId="6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0" fillId="0" borderId="1" xfId="6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176" fontId="11" fillId="0" borderId="1" xfId="0" applyNumberFormat="1" applyFont="1" applyFill="1" applyBorder="1" applyAlignment="1" applyProtection="1">
      <alignment horizontal="center" vertical="center" wrapText="1"/>
    </xf>
    <xf numFmtId="0" fontId="12" fillId="7" borderId="5" xfId="0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176" fontId="11" fillId="0" borderId="1" xfId="0" applyNumberFormat="1" applyFont="1" applyBorder="1" applyAlignment="1" applyProtection="1">
      <alignment horizontal="center" vertical="center"/>
    </xf>
    <xf numFmtId="176" fontId="11" fillId="0" borderId="1" xfId="0" applyNumberFormat="1" applyFont="1" applyFill="1" applyBorder="1" applyAlignment="1" applyProtection="1">
      <alignment horizontal="center" vertical="center"/>
    </xf>
    <xf numFmtId="0" fontId="12" fillId="5" borderId="8" xfId="0" applyFont="1" applyFill="1" applyBorder="1" applyAlignment="1" applyProtection="1">
      <alignment horizontal="center" vertical="center" wrapText="1"/>
      <protection locked="0"/>
    </xf>
    <xf numFmtId="49" fontId="12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7" fillId="0" borderId="1" xfId="50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Protection="1">
      <alignment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5" xfId="49"/>
    <cellStyle name="常规 30" xfId="50"/>
    <cellStyle name="Normal 2" xfId="51"/>
    <cellStyle name="常规 29" xfId="52"/>
    <cellStyle name="常规 3" xfId="53"/>
    <cellStyle name="常规 4" xfId="54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254"/>
  <sheetViews>
    <sheetView tabSelected="1" zoomScale="90" zoomScaleNormal="90" topLeftCell="A5" workbookViewId="0">
      <selection activeCell="E17" sqref="E17"/>
    </sheetView>
  </sheetViews>
  <sheetFormatPr defaultColWidth="9" defaultRowHeight="14.25"/>
  <cols>
    <col min="1" max="1" width="15.1416666666667" style="12" customWidth="1"/>
    <col min="2" max="2" width="13.05" style="12" customWidth="1"/>
    <col min="3" max="3" width="19.725" style="12" customWidth="1"/>
    <col min="4" max="4" width="11.9333333333333" style="12" customWidth="1"/>
    <col min="5" max="5" width="12.6333333333333" style="12" customWidth="1"/>
    <col min="6" max="6" width="14.9916666666667" style="12" customWidth="1"/>
    <col min="7" max="9" width="5.725" style="12" customWidth="1"/>
    <col min="10" max="11" width="7.775" style="12" customWidth="1"/>
    <col min="12" max="12" width="8.33333333333333" style="12" customWidth="1"/>
    <col min="13" max="13" width="10.4083333333333" style="12" customWidth="1"/>
    <col min="14" max="14" width="9.58333333333333" style="12" customWidth="1"/>
    <col min="15" max="16" width="9" style="12"/>
    <col min="17" max="17" width="11.375" style="12" customWidth="1"/>
    <col min="18" max="18" width="9.125" style="12" customWidth="1"/>
    <col min="19" max="19" width="9" style="12"/>
    <col min="20" max="20" width="7.21666666666667" style="12" customWidth="1"/>
    <col min="21" max="21" width="12.875" style="12" customWidth="1"/>
    <col min="22" max="22" width="9.725" style="12" customWidth="1"/>
    <col min="23" max="23" width="15" style="12" customWidth="1"/>
    <col min="24" max="16384" width="9" style="12"/>
  </cols>
  <sheetData>
    <row r="1" ht="75" customHeight="1" spans="1:26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67" customHeight="1" spans="1:26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40" customHeight="1" spans="1:26">
      <c r="A3" s="16" t="s">
        <v>2</v>
      </c>
      <c r="B3" s="16"/>
      <c r="C3" s="17"/>
      <c r="D3" s="18"/>
      <c r="E3" s="18"/>
      <c r="F3" s="18"/>
      <c r="G3" s="19" t="s">
        <v>3</v>
      </c>
      <c r="H3" s="20"/>
      <c r="I3" s="20"/>
      <c r="J3" s="34"/>
      <c r="K3" s="35" t="s">
        <v>4</v>
      </c>
      <c r="L3" s="36"/>
      <c r="M3" s="19" t="s">
        <v>5</v>
      </c>
      <c r="N3" s="34"/>
      <c r="O3" s="37"/>
      <c r="P3" s="22"/>
      <c r="Q3" s="22"/>
      <c r="R3" s="22"/>
      <c r="S3" s="22"/>
      <c r="T3" s="21" t="s">
        <v>6</v>
      </c>
      <c r="U3" s="21"/>
      <c r="V3" s="41"/>
      <c r="W3" s="41"/>
      <c r="X3" s="41"/>
      <c r="Y3" s="41"/>
      <c r="Z3" s="41"/>
    </row>
    <row r="4" ht="42" customHeight="1" spans="1:26">
      <c r="A4" s="21" t="s">
        <v>7</v>
      </c>
      <c r="B4" s="21"/>
      <c r="C4" s="22"/>
      <c r="D4" s="23"/>
      <c r="E4" s="22"/>
      <c r="F4" s="22"/>
      <c r="G4" s="21" t="s">
        <v>8</v>
      </c>
      <c r="H4" s="21"/>
      <c r="I4" s="28"/>
      <c r="J4" s="28"/>
      <c r="K4" s="28"/>
      <c r="L4" s="38"/>
      <c r="M4" s="19" t="s">
        <v>9</v>
      </c>
      <c r="N4" s="34"/>
      <c r="O4" s="39"/>
      <c r="P4" s="40"/>
      <c r="Q4" s="21" t="s">
        <v>10</v>
      </c>
      <c r="R4" s="39"/>
      <c r="S4" s="40"/>
      <c r="T4" s="21" t="s">
        <v>11</v>
      </c>
      <c r="U4" s="21"/>
      <c r="V4" s="41"/>
      <c r="W4" s="41"/>
      <c r="X4" s="41"/>
      <c r="Y4" s="41"/>
      <c r="Z4" s="41"/>
    </row>
    <row r="5" ht="45" customHeight="1" spans="1:26">
      <c r="A5" s="21" t="s">
        <v>12</v>
      </c>
      <c r="B5" s="21"/>
      <c r="C5" s="24" t="e">
        <f>VLOOKUP(C4,'渠道分解&amp;Fba编码'!E2:G999,3,FALSE)</f>
        <v>#N/A</v>
      </c>
      <c r="D5" s="25"/>
      <c r="E5" s="24"/>
      <c r="F5" s="24"/>
      <c r="G5" s="21" t="s">
        <v>13</v>
      </c>
      <c r="H5" s="21"/>
      <c r="I5" s="28"/>
      <c r="J5" s="28"/>
      <c r="K5" s="28"/>
      <c r="L5" s="38"/>
      <c r="M5" s="19" t="s">
        <v>14</v>
      </c>
      <c r="N5" s="34"/>
      <c r="O5" s="39"/>
      <c r="P5" s="40"/>
      <c r="Q5" s="21" t="s">
        <v>15</v>
      </c>
      <c r="R5" s="39"/>
      <c r="S5" s="40"/>
      <c r="T5" s="21" t="s">
        <v>16</v>
      </c>
      <c r="U5" s="21"/>
      <c r="V5" s="44"/>
      <c r="W5" s="44"/>
      <c r="X5" s="44"/>
      <c r="Y5" s="44"/>
      <c r="Z5" s="44"/>
    </row>
    <row r="6" ht="40" customHeight="1" spans="1:26">
      <c r="A6" s="21" t="s">
        <v>17</v>
      </c>
      <c r="B6" s="21"/>
      <c r="C6" s="22"/>
      <c r="D6" s="23"/>
      <c r="E6" s="22"/>
      <c r="F6" s="22"/>
      <c r="G6" s="21" t="s">
        <v>18</v>
      </c>
      <c r="H6" s="21"/>
      <c r="I6" s="28"/>
      <c r="J6" s="28"/>
      <c r="K6" s="28"/>
      <c r="L6" s="38"/>
      <c r="M6" s="19" t="s">
        <v>19</v>
      </c>
      <c r="N6" s="34"/>
      <c r="O6" s="39"/>
      <c r="P6" s="40"/>
      <c r="Q6" s="40"/>
      <c r="R6" s="40"/>
      <c r="S6" s="40"/>
      <c r="T6" s="21" t="s">
        <v>20</v>
      </c>
      <c r="U6" s="21"/>
      <c r="V6" s="44"/>
      <c r="W6" s="44"/>
      <c r="X6" s="44"/>
      <c r="Y6" s="44"/>
      <c r="Z6" s="44"/>
    </row>
    <row r="7" ht="40" customHeight="1" spans="1:26">
      <c r="A7" s="21" t="s">
        <v>21</v>
      </c>
      <c r="B7" s="21"/>
      <c r="C7" s="26" t="s">
        <v>22</v>
      </c>
      <c r="D7" s="26"/>
      <c r="E7" s="27" t="s">
        <v>23</v>
      </c>
      <c r="F7" s="27"/>
      <c r="G7" s="27"/>
      <c r="H7" s="27"/>
      <c r="I7" s="27"/>
      <c r="J7" s="27"/>
      <c r="K7" s="27"/>
      <c r="L7" s="27"/>
      <c r="M7" s="21" t="s">
        <v>24</v>
      </c>
      <c r="N7" s="16"/>
      <c r="O7" s="26" t="s">
        <v>25</v>
      </c>
      <c r="P7" s="26"/>
      <c r="Q7" s="26"/>
      <c r="R7" s="26"/>
      <c r="S7" s="26"/>
      <c r="T7" s="21" t="s">
        <v>26</v>
      </c>
      <c r="U7" s="21"/>
      <c r="V7" s="44"/>
      <c r="W7" s="44"/>
      <c r="X7" s="44"/>
      <c r="Y7" s="44"/>
      <c r="Z7" s="44"/>
    </row>
    <row r="8" ht="40" customHeight="1" spans="1:26">
      <c r="A8" s="21" t="s">
        <v>27</v>
      </c>
      <c r="B8" s="21"/>
      <c r="C8" s="28" t="s">
        <v>28</v>
      </c>
      <c r="D8" s="28"/>
      <c r="E8" s="21" t="s">
        <v>29</v>
      </c>
      <c r="F8" s="21"/>
      <c r="G8" s="29">
        <f>K179</f>
        <v>0</v>
      </c>
      <c r="H8" s="29"/>
      <c r="I8" s="29"/>
      <c r="J8" s="29"/>
      <c r="K8" s="29"/>
      <c r="L8" s="29"/>
      <c r="M8" s="21" t="s">
        <v>30</v>
      </c>
      <c r="N8" s="21"/>
      <c r="O8" s="26" t="s">
        <v>31</v>
      </c>
      <c r="P8" s="26"/>
      <c r="Q8" s="26"/>
      <c r="R8" s="26"/>
      <c r="S8" s="26"/>
      <c r="T8" s="21" t="s">
        <v>32</v>
      </c>
      <c r="U8" s="21"/>
      <c r="V8" s="41"/>
      <c r="W8" s="41"/>
      <c r="X8" s="41"/>
      <c r="Y8" s="41"/>
      <c r="Z8" s="41"/>
    </row>
    <row r="9" ht="40" customHeight="1" spans="1:26">
      <c r="A9" s="21" t="s">
        <v>33</v>
      </c>
      <c r="B9" s="21"/>
      <c r="C9" s="28" t="s">
        <v>34</v>
      </c>
      <c r="D9" s="28"/>
      <c r="E9" s="21" t="s">
        <v>35</v>
      </c>
      <c r="F9" s="21"/>
      <c r="G9" s="29">
        <f>M179</f>
        <v>0</v>
      </c>
      <c r="H9" s="29"/>
      <c r="I9" s="29"/>
      <c r="J9" s="29"/>
      <c r="K9" s="29"/>
      <c r="L9" s="29"/>
      <c r="M9" s="21" t="s">
        <v>36</v>
      </c>
      <c r="N9" s="21"/>
      <c r="O9" s="41"/>
      <c r="P9" s="41"/>
      <c r="Q9" s="41"/>
      <c r="R9" s="41"/>
      <c r="S9" s="41"/>
      <c r="T9" s="45" t="s">
        <v>37</v>
      </c>
      <c r="U9" s="45"/>
      <c r="V9" s="45"/>
      <c r="W9" s="45"/>
      <c r="X9" s="45"/>
      <c r="Y9" s="45"/>
      <c r="Z9" s="45"/>
    </row>
    <row r="10" ht="40" customHeight="1" spans="1:26">
      <c r="A10" s="21" t="s">
        <v>38</v>
      </c>
      <c r="B10" s="21"/>
      <c r="C10" s="26" t="s">
        <v>39</v>
      </c>
      <c r="D10" s="26"/>
      <c r="E10" s="21" t="s">
        <v>40</v>
      </c>
      <c r="F10" s="21"/>
      <c r="G10" s="29">
        <f>N179</f>
        <v>0</v>
      </c>
      <c r="H10" s="29"/>
      <c r="I10" s="29"/>
      <c r="J10" s="29"/>
      <c r="K10" s="29"/>
      <c r="L10" s="29"/>
      <c r="M10" s="21" t="s">
        <v>41</v>
      </c>
      <c r="N10" s="21"/>
      <c r="O10" s="42" t="e">
        <f>P179/N179</f>
        <v>#DIV/0!</v>
      </c>
      <c r="P10" s="42"/>
      <c r="Q10" s="21" t="s">
        <v>42</v>
      </c>
      <c r="R10" s="46" t="e">
        <f>G9/G10</f>
        <v>#DIV/0!</v>
      </c>
      <c r="S10" s="47"/>
      <c r="T10" s="45"/>
      <c r="U10" s="45"/>
      <c r="V10" s="45"/>
      <c r="W10" s="45"/>
      <c r="X10" s="45"/>
      <c r="Y10" s="45"/>
      <c r="Z10" s="45"/>
    </row>
    <row r="11" ht="84" spans="1:26">
      <c r="A11" s="30" t="s">
        <v>43</v>
      </c>
      <c r="B11" s="30" t="s">
        <v>44</v>
      </c>
      <c r="C11" s="30" t="s">
        <v>45</v>
      </c>
      <c r="D11" s="30" t="s">
        <v>46</v>
      </c>
      <c r="E11" s="31" t="s">
        <v>47</v>
      </c>
      <c r="F11" s="32" t="s">
        <v>48</v>
      </c>
      <c r="G11" s="30" t="s">
        <v>49</v>
      </c>
      <c r="H11" s="30"/>
      <c r="I11" s="30"/>
      <c r="J11" s="30" t="s">
        <v>50</v>
      </c>
      <c r="K11" s="43" t="s">
        <v>51</v>
      </c>
      <c r="L11" s="30" t="s">
        <v>52</v>
      </c>
      <c r="M11" s="43" t="s">
        <v>53</v>
      </c>
      <c r="N11" s="43" t="s">
        <v>54</v>
      </c>
      <c r="O11" s="30" t="s">
        <v>55</v>
      </c>
      <c r="P11" s="30" t="s">
        <v>56</v>
      </c>
      <c r="Q11" s="30" t="s">
        <v>57</v>
      </c>
      <c r="R11" s="48" t="s">
        <v>58</v>
      </c>
      <c r="S11" s="48" t="s">
        <v>59</v>
      </c>
      <c r="T11" s="48" t="s">
        <v>60</v>
      </c>
      <c r="U11" s="49" t="s">
        <v>61</v>
      </c>
      <c r="V11" s="49" t="s">
        <v>62</v>
      </c>
      <c r="W11" s="30" t="s">
        <v>63</v>
      </c>
      <c r="X11" s="30" t="s">
        <v>64</v>
      </c>
      <c r="Y11" s="30" t="s">
        <v>65</v>
      </c>
      <c r="Z11" s="48" t="s">
        <v>66</v>
      </c>
    </row>
    <row r="12" ht="36" customHeight="1" spans="1:3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>
        <f>J12*K12</f>
        <v>0</v>
      </c>
      <c r="M12" s="33"/>
      <c r="N12" s="33">
        <f>G12*H12*I12*K12/1000000</f>
        <v>0</v>
      </c>
      <c r="O12" s="33"/>
      <c r="P12" s="33">
        <f>L12*O12</f>
        <v>0</v>
      </c>
      <c r="Q12" s="50"/>
      <c r="R12" s="50"/>
      <c r="S12" s="51"/>
      <c r="T12" s="52"/>
      <c r="U12" s="53"/>
      <c r="V12" s="53"/>
      <c r="W12" s="54"/>
      <c r="X12" s="55"/>
      <c r="Y12" s="56"/>
      <c r="Z12" s="56"/>
      <c r="AA12" s="57"/>
      <c r="AB12" s="57"/>
      <c r="AC12" s="57"/>
      <c r="AD12" s="57"/>
      <c r="AE12" s="57"/>
      <c r="AF12" s="57"/>
    </row>
    <row r="13" ht="36" customHeight="1" spans="1:32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>
        <f t="shared" ref="L12:L41" si="0">J13*K13</f>
        <v>0</v>
      </c>
      <c r="M13" s="33"/>
      <c r="N13" s="33">
        <f t="shared" ref="N12:N41" si="1">G13*H13*I13*K13/1000000</f>
        <v>0</v>
      </c>
      <c r="O13" s="33"/>
      <c r="P13" s="33">
        <f t="shared" ref="P12:P42" si="2">L13*O13</f>
        <v>0</v>
      </c>
      <c r="Q13" s="50"/>
      <c r="R13" s="50"/>
      <c r="S13" s="51"/>
      <c r="T13" s="52"/>
      <c r="U13" s="53"/>
      <c r="V13" s="53"/>
      <c r="W13" s="54"/>
      <c r="X13" s="55"/>
      <c r="Y13" s="56"/>
      <c r="Z13" s="56"/>
      <c r="AA13" s="57"/>
      <c r="AB13" s="57"/>
      <c r="AC13" s="57"/>
      <c r="AD13" s="57"/>
      <c r="AE13" s="57"/>
      <c r="AF13" s="57"/>
    </row>
    <row r="14" ht="36" customHeight="1" spans="1:3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>
        <f t="shared" si="0"/>
        <v>0</v>
      </c>
      <c r="M14" s="33"/>
      <c r="N14" s="33">
        <f t="shared" si="1"/>
        <v>0</v>
      </c>
      <c r="O14" s="33"/>
      <c r="P14" s="33">
        <f t="shared" si="2"/>
        <v>0</v>
      </c>
      <c r="Q14" s="50"/>
      <c r="R14" s="50"/>
      <c r="S14" s="51"/>
      <c r="T14" s="52"/>
      <c r="U14" s="53"/>
      <c r="V14" s="53"/>
      <c r="W14" s="54"/>
      <c r="X14" s="55"/>
      <c r="Y14" s="56"/>
      <c r="Z14" s="56"/>
      <c r="AA14" s="57"/>
      <c r="AB14" s="57"/>
      <c r="AC14" s="57"/>
      <c r="AD14" s="57"/>
      <c r="AE14" s="57"/>
      <c r="AF14" s="57"/>
    </row>
    <row r="15" ht="36" customHeight="1" spans="1:3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>
        <f t="shared" si="0"/>
        <v>0</v>
      </c>
      <c r="M15" s="33"/>
      <c r="N15" s="33">
        <f t="shared" si="1"/>
        <v>0</v>
      </c>
      <c r="O15" s="33"/>
      <c r="P15" s="33">
        <f t="shared" si="2"/>
        <v>0</v>
      </c>
      <c r="Q15" s="50"/>
      <c r="R15" s="50"/>
      <c r="S15" s="51"/>
      <c r="T15" s="52"/>
      <c r="U15" s="53"/>
      <c r="V15" s="53"/>
      <c r="W15" s="54"/>
      <c r="X15" s="55"/>
      <c r="Y15" s="56"/>
      <c r="Z15" s="56"/>
      <c r="AA15" s="57"/>
      <c r="AB15" s="57"/>
      <c r="AC15" s="57"/>
      <c r="AD15" s="57"/>
      <c r="AE15" s="57"/>
      <c r="AF15" s="57"/>
    </row>
    <row r="16" ht="36" customHeight="1" spans="1:32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>
        <f t="shared" si="0"/>
        <v>0</v>
      </c>
      <c r="M16" s="33"/>
      <c r="N16" s="33">
        <f t="shared" si="1"/>
        <v>0</v>
      </c>
      <c r="O16" s="33"/>
      <c r="P16" s="33">
        <f t="shared" si="2"/>
        <v>0</v>
      </c>
      <c r="Q16" s="50"/>
      <c r="R16" s="50"/>
      <c r="S16" s="51"/>
      <c r="T16" s="52"/>
      <c r="U16" s="53"/>
      <c r="V16" s="53"/>
      <c r="W16" s="54"/>
      <c r="X16" s="55"/>
      <c r="Y16" s="56"/>
      <c r="Z16" s="56"/>
      <c r="AA16" s="57"/>
      <c r="AB16" s="57"/>
      <c r="AC16" s="57"/>
      <c r="AD16" s="57"/>
      <c r="AE16" s="57"/>
      <c r="AF16" s="57"/>
    </row>
    <row r="17" ht="36" customHeight="1" spans="1:3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>
        <f t="shared" si="0"/>
        <v>0</v>
      </c>
      <c r="M17" s="33"/>
      <c r="N17" s="33">
        <f t="shared" si="1"/>
        <v>0</v>
      </c>
      <c r="O17" s="33"/>
      <c r="P17" s="33">
        <f t="shared" si="2"/>
        <v>0</v>
      </c>
      <c r="Q17" s="50"/>
      <c r="R17" s="50"/>
      <c r="S17" s="51"/>
      <c r="T17" s="52"/>
      <c r="U17" s="53"/>
      <c r="V17" s="53"/>
      <c r="W17" s="54"/>
      <c r="X17" s="55"/>
      <c r="Y17" s="56"/>
      <c r="Z17" s="56"/>
      <c r="AA17" s="57"/>
      <c r="AB17" s="57"/>
      <c r="AC17" s="57"/>
      <c r="AD17" s="57"/>
      <c r="AE17" s="57"/>
      <c r="AF17" s="57"/>
    </row>
    <row r="18" ht="36" customHeight="1" spans="1:3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>
        <f t="shared" si="0"/>
        <v>0</v>
      </c>
      <c r="M18" s="33"/>
      <c r="N18" s="33">
        <f t="shared" si="1"/>
        <v>0</v>
      </c>
      <c r="O18" s="33"/>
      <c r="P18" s="33">
        <f t="shared" si="2"/>
        <v>0</v>
      </c>
      <c r="Q18" s="50"/>
      <c r="R18" s="50"/>
      <c r="S18" s="51"/>
      <c r="T18" s="52"/>
      <c r="U18" s="53"/>
      <c r="V18" s="53"/>
      <c r="W18" s="54"/>
      <c r="X18" s="55"/>
      <c r="Y18" s="56"/>
      <c r="Z18" s="56"/>
      <c r="AA18" s="57"/>
      <c r="AB18" s="57"/>
      <c r="AC18" s="57"/>
      <c r="AD18" s="57"/>
      <c r="AE18" s="57"/>
      <c r="AF18" s="57"/>
    </row>
    <row r="19" ht="36" customHeight="1" spans="1:3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>
        <f t="shared" si="0"/>
        <v>0</v>
      </c>
      <c r="M19" s="33"/>
      <c r="N19" s="33">
        <f t="shared" si="1"/>
        <v>0</v>
      </c>
      <c r="O19" s="33"/>
      <c r="P19" s="33">
        <f t="shared" si="2"/>
        <v>0</v>
      </c>
      <c r="Q19" s="50"/>
      <c r="R19" s="50"/>
      <c r="S19" s="51"/>
      <c r="T19" s="52"/>
      <c r="U19" s="53"/>
      <c r="V19" s="53"/>
      <c r="W19" s="54"/>
      <c r="X19" s="55"/>
      <c r="Y19" s="56"/>
      <c r="Z19" s="56"/>
      <c r="AA19" s="57"/>
      <c r="AB19" s="57"/>
      <c r="AC19" s="57"/>
      <c r="AD19" s="57"/>
      <c r="AE19" s="57"/>
      <c r="AF19" s="57"/>
    </row>
    <row r="20" ht="36" customHeight="1" spans="1:32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>
        <f t="shared" si="0"/>
        <v>0</v>
      </c>
      <c r="M20" s="33"/>
      <c r="N20" s="33">
        <f t="shared" si="1"/>
        <v>0</v>
      </c>
      <c r="O20" s="33"/>
      <c r="P20" s="33">
        <f t="shared" si="2"/>
        <v>0</v>
      </c>
      <c r="Q20" s="50"/>
      <c r="R20" s="50"/>
      <c r="S20" s="51"/>
      <c r="T20" s="52"/>
      <c r="U20" s="53"/>
      <c r="V20" s="53"/>
      <c r="W20" s="54"/>
      <c r="X20" s="55"/>
      <c r="Y20" s="56"/>
      <c r="Z20" s="56"/>
      <c r="AA20" s="57"/>
      <c r="AB20" s="57"/>
      <c r="AC20" s="57"/>
      <c r="AD20" s="57"/>
      <c r="AE20" s="57"/>
      <c r="AF20" s="57"/>
    </row>
    <row r="21" ht="36" customHeight="1" spans="1:3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>
        <f t="shared" si="0"/>
        <v>0</v>
      </c>
      <c r="M21" s="33"/>
      <c r="N21" s="33">
        <f t="shared" si="1"/>
        <v>0</v>
      </c>
      <c r="O21" s="33"/>
      <c r="P21" s="33">
        <f t="shared" si="2"/>
        <v>0</v>
      </c>
      <c r="Q21" s="50"/>
      <c r="R21" s="50"/>
      <c r="S21" s="51"/>
      <c r="T21" s="52"/>
      <c r="U21" s="53"/>
      <c r="V21" s="53"/>
      <c r="W21" s="54"/>
      <c r="X21" s="55"/>
      <c r="Y21" s="56"/>
      <c r="Z21" s="56"/>
      <c r="AA21" s="57"/>
      <c r="AB21" s="57"/>
      <c r="AC21" s="57"/>
      <c r="AD21" s="57"/>
      <c r="AE21" s="57"/>
      <c r="AF21" s="57"/>
    </row>
    <row r="22" ht="36" customHeight="1" spans="1:3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>
        <f t="shared" si="0"/>
        <v>0</v>
      </c>
      <c r="M22" s="33"/>
      <c r="N22" s="33">
        <f t="shared" si="1"/>
        <v>0</v>
      </c>
      <c r="O22" s="33"/>
      <c r="P22" s="33">
        <f t="shared" si="2"/>
        <v>0</v>
      </c>
      <c r="Q22" s="50"/>
      <c r="R22" s="50"/>
      <c r="S22" s="51"/>
      <c r="T22" s="52"/>
      <c r="U22" s="53"/>
      <c r="V22" s="53"/>
      <c r="W22" s="54"/>
      <c r="X22" s="55"/>
      <c r="Y22" s="56"/>
      <c r="Z22" s="56"/>
      <c r="AA22" s="57"/>
      <c r="AB22" s="57"/>
      <c r="AC22" s="57"/>
      <c r="AD22" s="57"/>
      <c r="AE22" s="57"/>
      <c r="AF22" s="57"/>
    </row>
    <row r="23" ht="36" customHeight="1" spans="1:3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>
        <f t="shared" si="0"/>
        <v>0</v>
      </c>
      <c r="M23" s="33"/>
      <c r="N23" s="33">
        <f t="shared" si="1"/>
        <v>0</v>
      </c>
      <c r="O23" s="33"/>
      <c r="P23" s="33">
        <f t="shared" si="2"/>
        <v>0</v>
      </c>
      <c r="Q23" s="50"/>
      <c r="R23" s="50"/>
      <c r="S23" s="51"/>
      <c r="T23" s="52"/>
      <c r="U23" s="53"/>
      <c r="V23" s="53"/>
      <c r="W23" s="54"/>
      <c r="X23" s="55"/>
      <c r="Y23" s="56"/>
      <c r="Z23" s="56"/>
      <c r="AA23" s="57"/>
      <c r="AB23" s="57"/>
      <c r="AC23" s="57"/>
      <c r="AD23" s="57"/>
      <c r="AE23" s="57"/>
      <c r="AF23" s="57"/>
    </row>
    <row r="24" ht="36" customHeight="1" spans="1:3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>
        <f t="shared" si="0"/>
        <v>0</v>
      </c>
      <c r="M24" s="33"/>
      <c r="N24" s="33">
        <f t="shared" si="1"/>
        <v>0</v>
      </c>
      <c r="O24" s="33"/>
      <c r="P24" s="33">
        <f t="shared" si="2"/>
        <v>0</v>
      </c>
      <c r="Q24" s="50"/>
      <c r="R24" s="50"/>
      <c r="S24" s="51"/>
      <c r="T24" s="52"/>
      <c r="U24" s="53"/>
      <c r="V24" s="53"/>
      <c r="W24" s="54"/>
      <c r="X24" s="55"/>
      <c r="Y24" s="56"/>
      <c r="Z24" s="56"/>
      <c r="AA24" s="57"/>
      <c r="AB24" s="57"/>
      <c r="AC24" s="57"/>
      <c r="AD24" s="57"/>
      <c r="AE24" s="57"/>
      <c r="AF24" s="57"/>
    </row>
    <row r="25" ht="36" customHeight="1" spans="1:3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>
        <f t="shared" si="0"/>
        <v>0</v>
      </c>
      <c r="M25" s="33"/>
      <c r="N25" s="33">
        <f t="shared" si="1"/>
        <v>0</v>
      </c>
      <c r="O25" s="33"/>
      <c r="P25" s="33">
        <f t="shared" si="2"/>
        <v>0</v>
      </c>
      <c r="Q25" s="50"/>
      <c r="R25" s="50"/>
      <c r="S25" s="51"/>
      <c r="T25" s="52"/>
      <c r="U25" s="53"/>
      <c r="V25" s="53"/>
      <c r="W25" s="54"/>
      <c r="X25" s="55"/>
      <c r="Y25" s="56"/>
      <c r="Z25" s="56"/>
      <c r="AA25" s="57"/>
      <c r="AB25" s="57"/>
      <c r="AC25" s="57"/>
      <c r="AD25" s="57"/>
      <c r="AE25" s="57"/>
      <c r="AF25" s="57"/>
    </row>
    <row r="26" ht="36" customHeight="1" spans="1:32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>
        <f t="shared" si="0"/>
        <v>0</v>
      </c>
      <c r="M26" s="33"/>
      <c r="N26" s="33">
        <f t="shared" si="1"/>
        <v>0</v>
      </c>
      <c r="O26" s="33"/>
      <c r="P26" s="33">
        <f t="shared" si="2"/>
        <v>0</v>
      </c>
      <c r="Q26" s="50"/>
      <c r="R26" s="50"/>
      <c r="S26" s="51"/>
      <c r="T26" s="52"/>
      <c r="U26" s="53"/>
      <c r="V26" s="53"/>
      <c r="W26" s="54"/>
      <c r="X26" s="55"/>
      <c r="Y26" s="56"/>
      <c r="Z26" s="56"/>
      <c r="AA26" s="57"/>
      <c r="AB26" s="57"/>
      <c r="AC26" s="57"/>
      <c r="AD26" s="57"/>
      <c r="AE26" s="57"/>
      <c r="AF26" s="57"/>
    </row>
    <row r="27" ht="36" customHeight="1" spans="1:32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>
        <f t="shared" si="0"/>
        <v>0</v>
      </c>
      <c r="M27" s="33"/>
      <c r="N27" s="33">
        <f t="shared" si="1"/>
        <v>0</v>
      </c>
      <c r="O27" s="33"/>
      <c r="P27" s="33">
        <f t="shared" si="2"/>
        <v>0</v>
      </c>
      <c r="Q27" s="50"/>
      <c r="R27" s="50"/>
      <c r="S27" s="51"/>
      <c r="T27" s="52"/>
      <c r="U27" s="53"/>
      <c r="V27" s="53"/>
      <c r="W27" s="54"/>
      <c r="X27" s="55"/>
      <c r="Y27" s="56"/>
      <c r="Z27" s="56"/>
      <c r="AA27" s="57"/>
      <c r="AB27" s="57"/>
      <c r="AC27" s="57"/>
      <c r="AD27" s="57"/>
      <c r="AE27" s="57"/>
      <c r="AF27" s="57"/>
    </row>
    <row r="28" ht="36" customHeight="1" spans="1:3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>
        <f t="shared" si="0"/>
        <v>0</v>
      </c>
      <c r="M28" s="33"/>
      <c r="N28" s="33">
        <f t="shared" si="1"/>
        <v>0</v>
      </c>
      <c r="O28" s="33"/>
      <c r="P28" s="33">
        <f t="shared" si="2"/>
        <v>0</v>
      </c>
      <c r="Q28" s="50"/>
      <c r="R28" s="50"/>
      <c r="S28" s="51"/>
      <c r="T28" s="52"/>
      <c r="U28" s="53"/>
      <c r="V28" s="53"/>
      <c r="W28" s="54"/>
      <c r="X28" s="55"/>
      <c r="Y28" s="56"/>
      <c r="Z28" s="56"/>
      <c r="AA28" s="57"/>
      <c r="AB28" s="57"/>
      <c r="AC28" s="57"/>
      <c r="AD28" s="57"/>
      <c r="AE28" s="57"/>
      <c r="AF28" s="57"/>
    </row>
    <row r="29" ht="36" customHeight="1" spans="1:32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>
        <f t="shared" si="0"/>
        <v>0</v>
      </c>
      <c r="M29" s="33"/>
      <c r="N29" s="33">
        <f t="shared" si="1"/>
        <v>0</v>
      </c>
      <c r="O29" s="33"/>
      <c r="P29" s="33">
        <f t="shared" si="2"/>
        <v>0</v>
      </c>
      <c r="Q29" s="50"/>
      <c r="R29" s="50"/>
      <c r="S29" s="51"/>
      <c r="T29" s="52"/>
      <c r="U29" s="53"/>
      <c r="V29" s="53"/>
      <c r="W29" s="54"/>
      <c r="X29" s="55"/>
      <c r="Y29" s="56"/>
      <c r="Z29" s="56"/>
      <c r="AA29" s="57"/>
      <c r="AB29" s="57"/>
      <c r="AC29" s="57"/>
      <c r="AD29" s="57"/>
      <c r="AE29" s="57"/>
      <c r="AF29" s="57"/>
    </row>
    <row r="30" ht="36" customHeight="1" spans="1:3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>
        <f t="shared" si="0"/>
        <v>0</v>
      </c>
      <c r="M30" s="33"/>
      <c r="N30" s="33">
        <f t="shared" si="1"/>
        <v>0</v>
      </c>
      <c r="O30" s="33"/>
      <c r="P30" s="33">
        <f t="shared" si="2"/>
        <v>0</v>
      </c>
      <c r="Q30" s="50"/>
      <c r="R30" s="50"/>
      <c r="S30" s="51"/>
      <c r="T30" s="52"/>
      <c r="U30" s="53"/>
      <c r="V30" s="53"/>
      <c r="W30" s="54"/>
      <c r="X30" s="55"/>
      <c r="Y30" s="56"/>
      <c r="Z30" s="56"/>
      <c r="AA30" s="57"/>
      <c r="AB30" s="57"/>
      <c r="AC30" s="57"/>
      <c r="AD30" s="57"/>
      <c r="AE30" s="57"/>
      <c r="AF30" s="57"/>
    </row>
    <row r="31" ht="36" customHeight="1" spans="1:3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>
        <f t="shared" si="0"/>
        <v>0</v>
      </c>
      <c r="M31" s="33"/>
      <c r="N31" s="33">
        <f t="shared" si="1"/>
        <v>0</v>
      </c>
      <c r="O31" s="33"/>
      <c r="P31" s="33">
        <f t="shared" si="2"/>
        <v>0</v>
      </c>
      <c r="Q31" s="50"/>
      <c r="R31" s="50"/>
      <c r="S31" s="51"/>
      <c r="T31" s="52"/>
      <c r="U31" s="53"/>
      <c r="V31" s="53"/>
      <c r="W31" s="54"/>
      <c r="X31" s="55"/>
      <c r="Y31" s="56"/>
      <c r="Z31" s="56"/>
      <c r="AA31" s="57"/>
      <c r="AB31" s="57"/>
      <c r="AC31" s="57"/>
      <c r="AD31" s="57"/>
      <c r="AE31" s="57"/>
      <c r="AF31" s="57"/>
    </row>
    <row r="32" ht="36" customHeight="1" spans="1: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>
        <f t="shared" si="0"/>
        <v>0</v>
      </c>
      <c r="M32" s="33"/>
      <c r="N32" s="33">
        <f t="shared" si="1"/>
        <v>0</v>
      </c>
      <c r="O32" s="33"/>
      <c r="P32" s="33">
        <f t="shared" si="2"/>
        <v>0</v>
      </c>
      <c r="Q32" s="50"/>
      <c r="R32" s="50"/>
      <c r="S32" s="51"/>
      <c r="T32" s="52"/>
      <c r="U32" s="53"/>
      <c r="V32" s="53"/>
      <c r="W32" s="54"/>
      <c r="X32" s="55"/>
      <c r="Y32" s="56"/>
      <c r="Z32" s="56"/>
      <c r="AA32" s="57"/>
      <c r="AB32" s="57"/>
      <c r="AC32" s="57"/>
      <c r="AD32" s="57"/>
      <c r="AE32" s="57"/>
      <c r="AF32" s="57"/>
    </row>
    <row r="33" ht="36" customHeight="1" spans="1:32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>
        <f t="shared" si="0"/>
        <v>0</v>
      </c>
      <c r="M33" s="33"/>
      <c r="N33" s="33">
        <f t="shared" si="1"/>
        <v>0</v>
      </c>
      <c r="O33" s="33"/>
      <c r="P33" s="33">
        <f t="shared" si="2"/>
        <v>0</v>
      </c>
      <c r="Q33" s="50"/>
      <c r="R33" s="50"/>
      <c r="S33" s="51"/>
      <c r="T33" s="52"/>
      <c r="U33" s="53"/>
      <c r="V33" s="53"/>
      <c r="W33" s="54"/>
      <c r="X33" s="55"/>
      <c r="Y33" s="56"/>
      <c r="Z33" s="56"/>
      <c r="AA33" s="57"/>
      <c r="AB33" s="57"/>
      <c r="AC33" s="57"/>
      <c r="AD33" s="57"/>
      <c r="AE33" s="57"/>
      <c r="AF33" s="57"/>
    </row>
    <row r="34" ht="36" customHeight="1" spans="1:3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>
        <f t="shared" si="0"/>
        <v>0</v>
      </c>
      <c r="M34" s="33"/>
      <c r="N34" s="33">
        <f t="shared" si="1"/>
        <v>0</v>
      </c>
      <c r="O34" s="33"/>
      <c r="P34" s="33">
        <f t="shared" si="2"/>
        <v>0</v>
      </c>
      <c r="Q34" s="50"/>
      <c r="R34" s="50"/>
      <c r="S34" s="51"/>
      <c r="T34" s="52"/>
      <c r="U34" s="53"/>
      <c r="V34" s="53"/>
      <c r="W34" s="54"/>
      <c r="X34" s="55"/>
      <c r="Y34" s="56"/>
      <c r="Z34" s="56"/>
      <c r="AA34" s="57"/>
      <c r="AB34" s="57"/>
      <c r="AC34" s="57"/>
      <c r="AD34" s="57"/>
      <c r="AE34" s="57"/>
      <c r="AF34" s="57"/>
    </row>
    <row r="35" ht="36" customHeight="1" spans="1:32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>
        <f t="shared" si="0"/>
        <v>0</v>
      </c>
      <c r="M35" s="33"/>
      <c r="N35" s="33">
        <f t="shared" si="1"/>
        <v>0</v>
      </c>
      <c r="O35" s="33"/>
      <c r="P35" s="33">
        <f t="shared" si="2"/>
        <v>0</v>
      </c>
      <c r="Q35" s="50"/>
      <c r="R35" s="50"/>
      <c r="S35" s="51"/>
      <c r="T35" s="52"/>
      <c r="U35" s="53"/>
      <c r="V35" s="53"/>
      <c r="W35" s="54"/>
      <c r="X35" s="55"/>
      <c r="Y35" s="56"/>
      <c r="Z35" s="56"/>
      <c r="AA35" s="57"/>
      <c r="AB35" s="57"/>
      <c r="AC35" s="57"/>
      <c r="AD35" s="57"/>
      <c r="AE35" s="57"/>
      <c r="AF35" s="57"/>
    </row>
    <row r="36" ht="36" customHeight="1" spans="1:3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>
        <f t="shared" si="0"/>
        <v>0</v>
      </c>
      <c r="M36" s="33"/>
      <c r="N36" s="33">
        <f t="shared" si="1"/>
        <v>0</v>
      </c>
      <c r="O36" s="33"/>
      <c r="P36" s="33">
        <f t="shared" si="2"/>
        <v>0</v>
      </c>
      <c r="Q36" s="50"/>
      <c r="R36" s="50"/>
      <c r="S36" s="51"/>
      <c r="T36" s="52"/>
      <c r="U36" s="53"/>
      <c r="V36" s="53"/>
      <c r="W36" s="54"/>
      <c r="X36" s="55"/>
      <c r="Y36" s="56"/>
      <c r="Z36" s="56"/>
      <c r="AA36" s="57"/>
      <c r="AB36" s="57"/>
      <c r="AC36" s="57"/>
      <c r="AD36" s="57"/>
      <c r="AE36" s="57"/>
      <c r="AF36" s="57"/>
    </row>
    <row r="37" ht="36" customHeight="1" spans="1:3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>
        <f t="shared" si="0"/>
        <v>0</v>
      </c>
      <c r="M37" s="33"/>
      <c r="N37" s="33">
        <f t="shared" si="1"/>
        <v>0</v>
      </c>
      <c r="O37" s="33"/>
      <c r="P37" s="33">
        <f t="shared" si="2"/>
        <v>0</v>
      </c>
      <c r="Q37" s="50"/>
      <c r="R37" s="50"/>
      <c r="S37" s="51"/>
      <c r="T37" s="52"/>
      <c r="U37" s="53"/>
      <c r="V37" s="53"/>
      <c r="W37" s="54"/>
      <c r="X37" s="55"/>
      <c r="Y37" s="56"/>
      <c r="Z37" s="56"/>
      <c r="AA37" s="57"/>
      <c r="AB37" s="57"/>
      <c r="AC37" s="57"/>
      <c r="AD37" s="57"/>
      <c r="AE37" s="57"/>
      <c r="AF37" s="57"/>
    </row>
    <row r="38" ht="36" customHeight="1" spans="1:32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>
        <f t="shared" si="0"/>
        <v>0</v>
      </c>
      <c r="M38" s="33"/>
      <c r="N38" s="33">
        <f t="shared" si="1"/>
        <v>0</v>
      </c>
      <c r="O38" s="33"/>
      <c r="P38" s="33">
        <f t="shared" si="2"/>
        <v>0</v>
      </c>
      <c r="Q38" s="50"/>
      <c r="R38" s="50"/>
      <c r="S38" s="51"/>
      <c r="T38" s="52"/>
      <c r="U38" s="53"/>
      <c r="V38" s="53"/>
      <c r="W38" s="54"/>
      <c r="X38" s="55"/>
      <c r="Y38" s="56"/>
      <c r="Z38" s="56"/>
      <c r="AA38" s="57"/>
      <c r="AB38" s="57"/>
      <c r="AC38" s="57"/>
      <c r="AD38" s="57"/>
      <c r="AE38" s="57"/>
      <c r="AF38" s="57"/>
    </row>
    <row r="39" ht="36" customHeight="1" spans="1:3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>
        <f t="shared" si="0"/>
        <v>0</v>
      </c>
      <c r="M39" s="33"/>
      <c r="N39" s="33">
        <f t="shared" si="1"/>
        <v>0</v>
      </c>
      <c r="O39" s="33"/>
      <c r="P39" s="33">
        <f t="shared" si="2"/>
        <v>0</v>
      </c>
      <c r="Q39" s="50"/>
      <c r="R39" s="50"/>
      <c r="S39" s="51"/>
      <c r="T39" s="52"/>
      <c r="U39" s="53"/>
      <c r="V39" s="53"/>
      <c r="W39" s="54"/>
      <c r="X39" s="55"/>
      <c r="Y39" s="56"/>
      <c r="Z39" s="56"/>
      <c r="AA39" s="57"/>
      <c r="AB39" s="57"/>
      <c r="AC39" s="57"/>
      <c r="AD39" s="57"/>
      <c r="AE39" s="57"/>
      <c r="AF39" s="57"/>
    </row>
    <row r="40" ht="36" customHeight="1" spans="1:32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>
        <f t="shared" si="0"/>
        <v>0</v>
      </c>
      <c r="M40" s="33"/>
      <c r="N40" s="33">
        <f t="shared" si="1"/>
        <v>0</v>
      </c>
      <c r="O40" s="33"/>
      <c r="P40" s="33">
        <f t="shared" si="2"/>
        <v>0</v>
      </c>
      <c r="Q40" s="50"/>
      <c r="R40" s="50"/>
      <c r="S40" s="51"/>
      <c r="T40" s="52"/>
      <c r="U40" s="53"/>
      <c r="V40" s="53"/>
      <c r="W40" s="54"/>
      <c r="X40" s="55"/>
      <c r="Y40" s="56"/>
      <c r="Z40" s="56"/>
      <c r="AA40" s="57"/>
      <c r="AB40" s="57"/>
      <c r="AC40" s="57"/>
      <c r="AD40" s="57"/>
      <c r="AE40" s="57"/>
      <c r="AF40" s="57"/>
    </row>
    <row r="41" ht="36" customHeight="1" spans="1:3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>
        <f t="shared" si="0"/>
        <v>0</v>
      </c>
      <c r="M41" s="33"/>
      <c r="N41" s="33">
        <f t="shared" si="1"/>
        <v>0</v>
      </c>
      <c r="O41" s="33"/>
      <c r="P41" s="33">
        <f t="shared" si="2"/>
        <v>0</v>
      </c>
      <c r="Q41" s="50"/>
      <c r="R41" s="50"/>
      <c r="S41" s="51"/>
      <c r="T41" s="52"/>
      <c r="U41" s="53"/>
      <c r="V41" s="53"/>
      <c r="W41" s="54"/>
      <c r="X41" s="55"/>
      <c r="Y41" s="56"/>
      <c r="Z41" s="56"/>
      <c r="AA41" s="57"/>
      <c r="AB41" s="57"/>
      <c r="AC41" s="57"/>
      <c r="AD41" s="57"/>
      <c r="AE41" s="57"/>
      <c r="AF41" s="57"/>
    </row>
    <row r="42" ht="36" customHeight="1" spans="1:3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>
        <f t="shared" ref="L42:L78" si="3">J42*K42</f>
        <v>0</v>
      </c>
      <c r="M42" s="33"/>
      <c r="N42" s="33">
        <f t="shared" ref="N42:N78" si="4">G42*H42*I42*K42/1000000</f>
        <v>0</v>
      </c>
      <c r="O42" s="33"/>
      <c r="P42" s="33">
        <f t="shared" si="2"/>
        <v>0</v>
      </c>
      <c r="Q42" s="50"/>
      <c r="R42" s="50"/>
      <c r="S42" s="51"/>
      <c r="T42" s="52"/>
      <c r="U42" s="53"/>
      <c r="V42" s="53"/>
      <c r="W42" s="54"/>
      <c r="X42" s="55"/>
      <c r="Y42" s="56"/>
      <c r="Z42" s="56"/>
      <c r="AA42" s="57"/>
      <c r="AB42" s="57"/>
      <c r="AC42" s="57"/>
      <c r="AD42" s="57"/>
      <c r="AE42" s="57"/>
      <c r="AF42" s="57"/>
    </row>
    <row r="43" ht="36" customHeight="1" spans="1:32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>
        <f t="shared" si="3"/>
        <v>0</v>
      </c>
      <c r="M43" s="33"/>
      <c r="N43" s="33">
        <f t="shared" si="4"/>
        <v>0</v>
      </c>
      <c r="O43" s="33"/>
      <c r="P43" s="33">
        <f t="shared" ref="P43:P78" si="5">L43*O43</f>
        <v>0</v>
      </c>
      <c r="Q43" s="50"/>
      <c r="R43" s="50"/>
      <c r="S43" s="51"/>
      <c r="T43" s="52"/>
      <c r="U43" s="53"/>
      <c r="V43" s="53"/>
      <c r="W43" s="54"/>
      <c r="X43" s="55"/>
      <c r="Y43" s="56"/>
      <c r="Z43" s="56"/>
      <c r="AA43" s="57"/>
      <c r="AB43" s="57"/>
      <c r="AC43" s="57"/>
      <c r="AD43" s="57"/>
      <c r="AE43" s="57"/>
      <c r="AF43" s="57"/>
    </row>
    <row r="44" ht="36" customHeight="1" spans="1:3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>
        <f t="shared" si="3"/>
        <v>0</v>
      </c>
      <c r="M44" s="33"/>
      <c r="N44" s="33">
        <f t="shared" si="4"/>
        <v>0</v>
      </c>
      <c r="O44" s="33"/>
      <c r="P44" s="33">
        <f t="shared" si="5"/>
        <v>0</v>
      </c>
      <c r="Q44" s="50"/>
      <c r="R44" s="50"/>
      <c r="S44" s="51"/>
      <c r="T44" s="52"/>
      <c r="U44" s="53"/>
      <c r="V44" s="53"/>
      <c r="W44" s="54"/>
      <c r="X44" s="55"/>
      <c r="Y44" s="56"/>
      <c r="Z44" s="56"/>
      <c r="AA44" s="57"/>
      <c r="AB44" s="57"/>
      <c r="AC44" s="57"/>
      <c r="AD44" s="57"/>
      <c r="AE44" s="57"/>
      <c r="AF44" s="57"/>
    </row>
    <row r="45" ht="36" customHeight="1" spans="1:3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>
        <f t="shared" si="3"/>
        <v>0</v>
      </c>
      <c r="M45" s="33"/>
      <c r="N45" s="33">
        <f t="shared" si="4"/>
        <v>0</v>
      </c>
      <c r="O45" s="33"/>
      <c r="P45" s="33">
        <f t="shared" si="5"/>
        <v>0</v>
      </c>
      <c r="Q45" s="50"/>
      <c r="R45" s="50"/>
      <c r="S45" s="51"/>
      <c r="T45" s="52"/>
      <c r="U45" s="53"/>
      <c r="V45" s="53"/>
      <c r="W45" s="54"/>
      <c r="X45" s="55"/>
      <c r="Y45" s="56"/>
      <c r="Z45" s="56"/>
      <c r="AA45" s="57"/>
      <c r="AB45" s="57"/>
      <c r="AC45" s="57"/>
      <c r="AD45" s="57"/>
      <c r="AE45" s="57"/>
      <c r="AF45" s="57"/>
    </row>
    <row r="46" ht="36" customHeight="1" spans="1:3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>
        <f t="shared" si="3"/>
        <v>0</v>
      </c>
      <c r="M46" s="33"/>
      <c r="N46" s="33">
        <f t="shared" si="4"/>
        <v>0</v>
      </c>
      <c r="O46" s="33"/>
      <c r="P46" s="33">
        <f t="shared" si="5"/>
        <v>0</v>
      </c>
      <c r="Q46" s="50"/>
      <c r="R46" s="50"/>
      <c r="S46" s="51"/>
      <c r="T46" s="52"/>
      <c r="U46" s="53"/>
      <c r="V46" s="53"/>
      <c r="W46" s="54"/>
      <c r="X46" s="55"/>
      <c r="Y46" s="56"/>
      <c r="Z46" s="56"/>
      <c r="AA46" s="57"/>
      <c r="AB46" s="57"/>
      <c r="AC46" s="57"/>
      <c r="AD46" s="57"/>
      <c r="AE46" s="57"/>
      <c r="AF46" s="57"/>
    </row>
    <row r="47" ht="36" customHeight="1" spans="1:32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>
        <f t="shared" si="3"/>
        <v>0</v>
      </c>
      <c r="M47" s="33"/>
      <c r="N47" s="33">
        <f t="shared" si="4"/>
        <v>0</v>
      </c>
      <c r="O47" s="33"/>
      <c r="P47" s="33">
        <f t="shared" si="5"/>
        <v>0</v>
      </c>
      <c r="Q47" s="50"/>
      <c r="R47" s="50"/>
      <c r="S47" s="51"/>
      <c r="T47" s="52"/>
      <c r="U47" s="53"/>
      <c r="V47" s="53"/>
      <c r="W47" s="54"/>
      <c r="X47" s="55"/>
      <c r="Y47" s="56"/>
      <c r="Z47" s="56"/>
      <c r="AA47" s="57"/>
      <c r="AB47" s="57"/>
      <c r="AC47" s="57"/>
      <c r="AD47" s="57"/>
      <c r="AE47" s="57"/>
      <c r="AF47" s="57"/>
    </row>
    <row r="48" ht="36" customHeight="1" spans="1:32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>
        <f t="shared" si="3"/>
        <v>0</v>
      </c>
      <c r="M48" s="33"/>
      <c r="N48" s="33">
        <f t="shared" si="4"/>
        <v>0</v>
      </c>
      <c r="O48" s="33"/>
      <c r="P48" s="33">
        <f t="shared" si="5"/>
        <v>0</v>
      </c>
      <c r="Q48" s="50"/>
      <c r="R48" s="50"/>
      <c r="S48" s="51"/>
      <c r="T48" s="52"/>
      <c r="U48" s="53"/>
      <c r="V48" s="53"/>
      <c r="W48" s="54"/>
      <c r="X48" s="55"/>
      <c r="Y48" s="56"/>
      <c r="Z48" s="56"/>
      <c r="AA48" s="57"/>
      <c r="AB48" s="57"/>
      <c r="AC48" s="57"/>
      <c r="AD48" s="57"/>
      <c r="AE48" s="57"/>
      <c r="AF48" s="57"/>
    </row>
    <row r="49" ht="36" customHeight="1" spans="1:3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>
        <f t="shared" si="3"/>
        <v>0</v>
      </c>
      <c r="M49" s="33"/>
      <c r="N49" s="33">
        <f t="shared" si="4"/>
        <v>0</v>
      </c>
      <c r="O49" s="33"/>
      <c r="P49" s="33">
        <f t="shared" si="5"/>
        <v>0</v>
      </c>
      <c r="Q49" s="50"/>
      <c r="R49" s="50"/>
      <c r="S49" s="51"/>
      <c r="T49" s="52"/>
      <c r="U49" s="53"/>
      <c r="V49" s="53"/>
      <c r="W49" s="54"/>
      <c r="X49" s="55"/>
      <c r="Y49" s="56"/>
      <c r="Z49" s="56"/>
      <c r="AA49" s="57"/>
      <c r="AB49" s="57"/>
      <c r="AC49" s="57"/>
      <c r="AD49" s="57"/>
      <c r="AE49" s="57"/>
      <c r="AF49" s="57"/>
    </row>
    <row r="50" ht="36" customHeight="1" spans="1:32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>
        <f t="shared" si="3"/>
        <v>0</v>
      </c>
      <c r="M50" s="33"/>
      <c r="N50" s="33">
        <f t="shared" si="4"/>
        <v>0</v>
      </c>
      <c r="O50" s="33"/>
      <c r="P50" s="33">
        <f t="shared" si="5"/>
        <v>0</v>
      </c>
      <c r="Q50" s="50"/>
      <c r="R50" s="50"/>
      <c r="S50" s="51"/>
      <c r="T50" s="52"/>
      <c r="U50" s="53"/>
      <c r="V50" s="53"/>
      <c r="W50" s="54"/>
      <c r="X50" s="55"/>
      <c r="Y50" s="56"/>
      <c r="Z50" s="56"/>
      <c r="AA50" s="57"/>
      <c r="AB50" s="57"/>
      <c r="AC50" s="57"/>
      <c r="AD50" s="57"/>
      <c r="AE50" s="57"/>
      <c r="AF50" s="57"/>
    </row>
    <row r="51" ht="36" customHeight="1" spans="1:3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>
        <f t="shared" si="3"/>
        <v>0</v>
      </c>
      <c r="M51" s="33"/>
      <c r="N51" s="33">
        <f t="shared" si="4"/>
        <v>0</v>
      </c>
      <c r="O51" s="33"/>
      <c r="P51" s="33">
        <f t="shared" si="5"/>
        <v>0</v>
      </c>
      <c r="Q51" s="50"/>
      <c r="R51" s="50"/>
      <c r="S51" s="51"/>
      <c r="T51" s="52"/>
      <c r="U51" s="53"/>
      <c r="V51" s="53"/>
      <c r="W51" s="54"/>
      <c r="X51" s="55"/>
      <c r="Y51" s="56"/>
      <c r="Z51" s="56"/>
      <c r="AA51" s="57"/>
      <c r="AB51" s="57"/>
      <c r="AC51" s="57"/>
      <c r="AD51" s="57"/>
      <c r="AE51" s="57"/>
      <c r="AF51" s="57"/>
    </row>
    <row r="52" ht="36" customHeight="1" spans="1:3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>
        <f t="shared" si="3"/>
        <v>0</v>
      </c>
      <c r="M52" s="33"/>
      <c r="N52" s="33">
        <f t="shared" si="4"/>
        <v>0</v>
      </c>
      <c r="O52" s="33"/>
      <c r="P52" s="33">
        <f t="shared" si="5"/>
        <v>0</v>
      </c>
      <c r="Q52" s="50"/>
      <c r="R52" s="50"/>
      <c r="S52" s="51"/>
      <c r="T52" s="52"/>
      <c r="U52" s="53"/>
      <c r="V52" s="53"/>
      <c r="W52" s="54"/>
      <c r="X52" s="55"/>
      <c r="Y52" s="56"/>
      <c r="Z52" s="56"/>
      <c r="AA52" s="57"/>
      <c r="AB52" s="57"/>
      <c r="AC52" s="57"/>
      <c r="AD52" s="57"/>
      <c r="AE52" s="57"/>
      <c r="AF52" s="57"/>
    </row>
    <row r="53" ht="36" customHeight="1" spans="1:32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>
        <f t="shared" si="3"/>
        <v>0</v>
      </c>
      <c r="M53" s="33"/>
      <c r="N53" s="33">
        <f t="shared" si="4"/>
        <v>0</v>
      </c>
      <c r="O53" s="33"/>
      <c r="P53" s="33">
        <f t="shared" si="5"/>
        <v>0</v>
      </c>
      <c r="Q53" s="50"/>
      <c r="R53" s="50"/>
      <c r="S53" s="51"/>
      <c r="T53" s="52"/>
      <c r="U53" s="53"/>
      <c r="V53" s="53"/>
      <c r="W53" s="54"/>
      <c r="X53" s="55"/>
      <c r="Y53" s="56"/>
      <c r="Z53" s="56"/>
      <c r="AA53" s="57"/>
      <c r="AB53" s="57"/>
      <c r="AC53" s="57"/>
      <c r="AD53" s="57"/>
      <c r="AE53" s="57"/>
      <c r="AF53" s="57"/>
    </row>
    <row r="54" ht="36" customHeight="1" spans="1:3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>
        <f t="shared" si="3"/>
        <v>0</v>
      </c>
      <c r="M54" s="33"/>
      <c r="N54" s="33">
        <f t="shared" si="4"/>
        <v>0</v>
      </c>
      <c r="O54" s="33"/>
      <c r="P54" s="33">
        <f t="shared" si="5"/>
        <v>0</v>
      </c>
      <c r="Q54" s="50"/>
      <c r="R54" s="50"/>
      <c r="S54" s="51"/>
      <c r="T54" s="52"/>
      <c r="U54" s="53"/>
      <c r="V54" s="53"/>
      <c r="W54" s="54"/>
      <c r="X54" s="55"/>
      <c r="Y54" s="56"/>
      <c r="Z54" s="56"/>
      <c r="AA54" s="57"/>
      <c r="AB54" s="57"/>
      <c r="AC54" s="57"/>
      <c r="AD54" s="57"/>
      <c r="AE54" s="57"/>
      <c r="AF54" s="57"/>
    </row>
    <row r="55" ht="36" customHeight="1" spans="1:3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>
        <f t="shared" si="3"/>
        <v>0</v>
      </c>
      <c r="M55" s="33"/>
      <c r="N55" s="33">
        <f t="shared" si="4"/>
        <v>0</v>
      </c>
      <c r="O55" s="33"/>
      <c r="P55" s="33">
        <f t="shared" si="5"/>
        <v>0</v>
      </c>
      <c r="Q55" s="50"/>
      <c r="R55" s="50"/>
      <c r="S55" s="51"/>
      <c r="T55" s="52"/>
      <c r="U55" s="53"/>
      <c r="V55" s="53"/>
      <c r="W55" s="54"/>
      <c r="X55" s="55"/>
      <c r="Y55" s="56"/>
      <c r="Z55" s="56"/>
      <c r="AA55" s="57"/>
      <c r="AB55" s="57"/>
      <c r="AC55" s="57"/>
      <c r="AD55" s="57"/>
      <c r="AE55" s="57"/>
      <c r="AF55" s="57"/>
    </row>
    <row r="56" ht="36" customHeight="1" spans="1:32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>
        <f t="shared" si="3"/>
        <v>0</v>
      </c>
      <c r="M56" s="33"/>
      <c r="N56" s="33">
        <f t="shared" si="4"/>
        <v>0</v>
      </c>
      <c r="O56" s="33"/>
      <c r="P56" s="33">
        <f t="shared" si="5"/>
        <v>0</v>
      </c>
      <c r="Q56" s="50"/>
      <c r="R56" s="50"/>
      <c r="S56" s="51"/>
      <c r="T56" s="52"/>
      <c r="U56" s="53"/>
      <c r="V56" s="53"/>
      <c r="W56" s="54"/>
      <c r="X56" s="55"/>
      <c r="Y56" s="56"/>
      <c r="Z56" s="56"/>
      <c r="AA56" s="57"/>
      <c r="AB56" s="57"/>
      <c r="AC56" s="57"/>
      <c r="AD56" s="57"/>
      <c r="AE56" s="57"/>
      <c r="AF56" s="57"/>
    </row>
    <row r="57" ht="36" customHeight="1" spans="1:32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>
        <f t="shared" si="3"/>
        <v>0</v>
      </c>
      <c r="M57" s="33"/>
      <c r="N57" s="33">
        <f t="shared" si="4"/>
        <v>0</v>
      </c>
      <c r="O57" s="33"/>
      <c r="P57" s="33">
        <f t="shared" si="5"/>
        <v>0</v>
      </c>
      <c r="Q57" s="50"/>
      <c r="R57" s="50"/>
      <c r="S57" s="51"/>
      <c r="T57" s="52"/>
      <c r="U57" s="53"/>
      <c r="V57" s="53"/>
      <c r="W57" s="54"/>
      <c r="X57" s="55"/>
      <c r="Y57" s="56"/>
      <c r="Z57" s="56"/>
      <c r="AA57" s="57"/>
      <c r="AB57" s="57"/>
      <c r="AC57" s="57"/>
      <c r="AD57" s="57"/>
      <c r="AE57" s="57"/>
      <c r="AF57" s="57"/>
    </row>
    <row r="58" ht="36" customHeight="1" spans="1:32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>
        <f t="shared" si="3"/>
        <v>0</v>
      </c>
      <c r="M58" s="33"/>
      <c r="N58" s="33">
        <f t="shared" si="4"/>
        <v>0</v>
      </c>
      <c r="O58" s="33"/>
      <c r="P58" s="33">
        <f t="shared" si="5"/>
        <v>0</v>
      </c>
      <c r="Q58" s="50"/>
      <c r="R58" s="50"/>
      <c r="S58" s="51"/>
      <c r="T58" s="52"/>
      <c r="U58" s="53"/>
      <c r="V58" s="53"/>
      <c r="W58" s="54"/>
      <c r="X58" s="55"/>
      <c r="Y58" s="56"/>
      <c r="Z58" s="56"/>
      <c r="AA58" s="57"/>
      <c r="AB58" s="57"/>
      <c r="AC58" s="57"/>
      <c r="AD58" s="57"/>
      <c r="AE58" s="57"/>
      <c r="AF58" s="57"/>
    </row>
    <row r="59" ht="36" customHeight="1" spans="1:3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>
        <f t="shared" si="3"/>
        <v>0</v>
      </c>
      <c r="M59" s="33"/>
      <c r="N59" s="33">
        <f t="shared" si="4"/>
        <v>0</v>
      </c>
      <c r="O59" s="33"/>
      <c r="P59" s="33">
        <f t="shared" si="5"/>
        <v>0</v>
      </c>
      <c r="Q59" s="50"/>
      <c r="R59" s="50"/>
      <c r="S59" s="51"/>
      <c r="T59" s="52"/>
      <c r="U59" s="53"/>
      <c r="V59" s="53"/>
      <c r="W59" s="54"/>
      <c r="X59" s="55"/>
      <c r="Y59" s="56"/>
      <c r="Z59" s="56"/>
      <c r="AA59" s="57"/>
      <c r="AB59" s="57"/>
      <c r="AC59" s="57"/>
      <c r="AD59" s="57"/>
      <c r="AE59" s="57"/>
      <c r="AF59" s="57"/>
    </row>
    <row r="60" ht="36" customHeight="1" spans="1:32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>
        <f t="shared" si="3"/>
        <v>0</v>
      </c>
      <c r="M60" s="33"/>
      <c r="N60" s="33">
        <f t="shared" si="4"/>
        <v>0</v>
      </c>
      <c r="O60" s="33"/>
      <c r="P60" s="33">
        <f t="shared" si="5"/>
        <v>0</v>
      </c>
      <c r="Q60" s="50"/>
      <c r="R60" s="50"/>
      <c r="S60" s="51"/>
      <c r="T60" s="52"/>
      <c r="U60" s="53"/>
      <c r="V60" s="53"/>
      <c r="W60" s="54"/>
      <c r="X60" s="55"/>
      <c r="Y60" s="56"/>
      <c r="Z60" s="56"/>
      <c r="AA60" s="57"/>
      <c r="AB60" s="57"/>
      <c r="AC60" s="57"/>
      <c r="AD60" s="57"/>
      <c r="AE60" s="57"/>
      <c r="AF60" s="57"/>
    </row>
    <row r="61" ht="36" customHeight="1" spans="1:32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>
        <f t="shared" si="3"/>
        <v>0</v>
      </c>
      <c r="M61" s="33"/>
      <c r="N61" s="33">
        <f t="shared" si="4"/>
        <v>0</v>
      </c>
      <c r="O61" s="33"/>
      <c r="P61" s="33">
        <f t="shared" si="5"/>
        <v>0</v>
      </c>
      <c r="Q61" s="50"/>
      <c r="R61" s="50"/>
      <c r="S61" s="51"/>
      <c r="T61" s="52"/>
      <c r="U61" s="53"/>
      <c r="V61" s="53"/>
      <c r="W61" s="54"/>
      <c r="X61" s="55"/>
      <c r="Y61" s="56"/>
      <c r="Z61" s="56"/>
      <c r="AA61" s="57"/>
      <c r="AB61" s="57"/>
      <c r="AC61" s="57"/>
      <c r="AD61" s="57"/>
      <c r="AE61" s="57"/>
      <c r="AF61" s="57"/>
    </row>
    <row r="62" ht="36" customHeight="1" spans="1:3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>
        <f t="shared" si="3"/>
        <v>0</v>
      </c>
      <c r="M62" s="33"/>
      <c r="N62" s="33">
        <f t="shared" si="4"/>
        <v>0</v>
      </c>
      <c r="O62" s="33"/>
      <c r="P62" s="33">
        <f t="shared" si="5"/>
        <v>0</v>
      </c>
      <c r="Q62" s="50"/>
      <c r="R62" s="50"/>
      <c r="S62" s="51"/>
      <c r="T62" s="52"/>
      <c r="U62" s="53"/>
      <c r="V62" s="53"/>
      <c r="W62" s="54"/>
      <c r="X62" s="55"/>
      <c r="Y62" s="56"/>
      <c r="Z62" s="56"/>
      <c r="AA62" s="57"/>
      <c r="AB62" s="57"/>
      <c r="AC62" s="57"/>
      <c r="AD62" s="57"/>
      <c r="AE62" s="57"/>
      <c r="AF62" s="57"/>
    </row>
    <row r="63" ht="36" customHeight="1" spans="1:3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>
        <f t="shared" si="3"/>
        <v>0</v>
      </c>
      <c r="M63" s="33"/>
      <c r="N63" s="33">
        <f t="shared" si="4"/>
        <v>0</v>
      </c>
      <c r="O63" s="33"/>
      <c r="P63" s="33">
        <f t="shared" si="5"/>
        <v>0</v>
      </c>
      <c r="Q63" s="50"/>
      <c r="R63" s="50"/>
      <c r="S63" s="51"/>
      <c r="T63" s="52"/>
      <c r="U63" s="53"/>
      <c r="V63" s="53"/>
      <c r="W63" s="54"/>
      <c r="X63" s="55"/>
      <c r="Y63" s="56"/>
      <c r="Z63" s="56"/>
      <c r="AA63" s="57"/>
      <c r="AB63" s="57"/>
      <c r="AC63" s="57"/>
      <c r="AD63" s="57"/>
      <c r="AE63" s="57"/>
      <c r="AF63" s="57"/>
    </row>
    <row r="64" ht="36" customHeight="1" spans="1:26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>
        <f t="shared" si="3"/>
        <v>0</v>
      </c>
      <c r="M64" s="33"/>
      <c r="N64" s="33">
        <f t="shared" si="4"/>
        <v>0</v>
      </c>
      <c r="O64" s="33"/>
      <c r="P64" s="33">
        <f t="shared" si="5"/>
        <v>0</v>
      </c>
      <c r="Q64" s="50"/>
      <c r="R64" s="50"/>
      <c r="S64" s="51"/>
      <c r="T64" s="52"/>
      <c r="U64" s="53"/>
      <c r="V64" s="53"/>
      <c r="W64" s="54"/>
      <c r="X64" s="55"/>
      <c r="Y64" s="56"/>
      <c r="Z64" s="56"/>
    </row>
    <row r="65" ht="36" customHeight="1" spans="1:26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>
        <f t="shared" si="3"/>
        <v>0</v>
      </c>
      <c r="M65" s="33"/>
      <c r="N65" s="33">
        <f t="shared" si="4"/>
        <v>0</v>
      </c>
      <c r="O65" s="33"/>
      <c r="P65" s="33">
        <f t="shared" si="5"/>
        <v>0</v>
      </c>
      <c r="Q65" s="50"/>
      <c r="R65" s="50"/>
      <c r="S65" s="51"/>
      <c r="T65" s="52"/>
      <c r="U65" s="53"/>
      <c r="V65" s="53"/>
      <c r="W65" s="54"/>
      <c r="X65" s="55"/>
      <c r="Y65" s="56"/>
      <c r="Z65" s="56"/>
    </row>
    <row r="66" ht="36" customHeight="1" spans="1:2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>
        <f t="shared" si="3"/>
        <v>0</v>
      </c>
      <c r="M66" s="33"/>
      <c r="N66" s="33">
        <f t="shared" si="4"/>
        <v>0</v>
      </c>
      <c r="O66" s="33"/>
      <c r="P66" s="33">
        <f t="shared" si="5"/>
        <v>0</v>
      </c>
      <c r="Q66" s="50"/>
      <c r="R66" s="50"/>
      <c r="S66" s="51"/>
      <c r="T66" s="52"/>
      <c r="U66" s="53"/>
      <c r="V66" s="53"/>
      <c r="W66" s="54"/>
      <c r="X66" s="55"/>
      <c r="Y66" s="56"/>
      <c r="Z66" s="56"/>
    </row>
    <row r="67" ht="36" customHeight="1" spans="1:26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>
        <f t="shared" si="3"/>
        <v>0</v>
      </c>
      <c r="M67" s="33"/>
      <c r="N67" s="33">
        <f t="shared" si="4"/>
        <v>0</v>
      </c>
      <c r="O67" s="33"/>
      <c r="P67" s="33">
        <f t="shared" si="5"/>
        <v>0</v>
      </c>
      <c r="Q67" s="50"/>
      <c r="R67" s="50"/>
      <c r="S67" s="51"/>
      <c r="T67" s="52"/>
      <c r="U67" s="53"/>
      <c r="V67" s="53"/>
      <c r="W67" s="54"/>
      <c r="X67" s="55"/>
      <c r="Y67" s="56"/>
      <c r="Z67" s="56"/>
    </row>
    <row r="68" ht="36" customHeight="1" spans="1:26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>
        <f t="shared" si="3"/>
        <v>0</v>
      </c>
      <c r="M68" s="33"/>
      <c r="N68" s="33">
        <f t="shared" si="4"/>
        <v>0</v>
      </c>
      <c r="O68" s="33"/>
      <c r="P68" s="33">
        <f t="shared" si="5"/>
        <v>0</v>
      </c>
      <c r="Q68" s="50"/>
      <c r="R68" s="50"/>
      <c r="S68" s="51"/>
      <c r="T68" s="52"/>
      <c r="U68" s="53"/>
      <c r="V68" s="53"/>
      <c r="W68" s="54"/>
      <c r="X68" s="55"/>
      <c r="Y68" s="56"/>
      <c r="Z68" s="56"/>
    </row>
    <row r="69" ht="36" customHeight="1" spans="1:26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>
        <f t="shared" si="3"/>
        <v>0</v>
      </c>
      <c r="M69" s="33"/>
      <c r="N69" s="33">
        <f t="shared" si="4"/>
        <v>0</v>
      </c>
      <c r="O69" s="33"/>
      <c r="P69" s="33">
        <f t="shared" si="5"/>
        <v>0</v>
      </c>
      <c r="Q69" s="50"/>
      <c r="R69" s="50"/>
      <c r="S69" s="51"/>
      <c r="T69" s="52"/>
      <c r="U69" s="53"/>
      <c r="V69" s="53"/>
      <c r="W69" s="54"/>
      <c r="X69" s="55"/>
      <c r="Y69" s="56"/>
      <c r="Z69" s="56"/>
    </row>
    <row r="70" ht="36" customHeight="1" spans="1:26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>
        <f t="shared" si="3"/>
        <v>0</v>
      </c>
      <c r="M70" s="33"/>
      <c r="N70" s="33">
        <f t="shared" si="4"/>
        <v>0</v>
      </c>
      <c r="O70" s="33"/>
      <c r="P70" s="33">
        <f t="shared" si="5"/>
        <v>0</v>
      </c>
      <c r="Q70" s="50"/>
      <c r="R70" s="50"/>
      <c r="S70" s="51"/>
      <c r="T70" s="52"/>
      <c r="U70" s="53"/>
      <c r="V70" s="53"/>
      <c r="W70" s="54"/>
      <c r="X70" s="55"/>
      <c r="Y70" s="56"/>
      <c r="Z70" s="56"/>
    </row>
    <row r="71" ht="36" customHeight="1" spans="1:26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>
        <f t="shared" si="3"/>
        <v>0</v>
      </c>
      <c r="M71" s="33"/>
      <c r="N71" s="33">
        <f t="shared" si="4"/>
        <v>0</v>
      </c>
      <c r="O71" s="33"/>
      <c r="P71" s="33">
        <f t="shared" si="5"/>
        <v>0</v>
      </c>
      <c r="Q71" s="50"/>
      <c r="R71" s="50"/>
      <c r="S71" s="51"/>
      <c r="T71" s="52"/>
      <c r="U71" s="53"/>
      <c r="V71" s="53"/>
      <c r="W71" s="54"/>
      <c r="X71" s="55"/>
      <c r="Y71" s="56"/>
      <c r="Z71" s="56"/>
    </row>
    <row r="72" ht="36" customHeight="1" spans="1:26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>
        <f t="shared" si="3"/>
        <v>0</v>
      </c>
      <c r="M72" s="33"/>
      <c r="N72" s="33">
        <f t="shared" si="4"/>
        <v>0</v>
      </c>
      <c r="O72" s="33"/>
      <c r="P72" s="33">
        <f t="shared" si="5"/>
        <v>0</v>
      </c>
      <c r="Q72" s="50"/>
      <c r="R72" s="50"/>
      <c r="S72" s="51"/>
      <c r="T72" s="52"/>
      <c r="U72" s="53"/>
      <c r="V72" s="53"/>
      <c r="W72" s="54"/>
      <c r="X72" s="55"/>
      <c r="Y72" s="56"/>
      <c r="Z72" s="56"/>
    </row>
    <row r="73" ht="36" customHeight="1" spans="1:26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>
        <f t="shared" si="3"/>
        <v>0</v>
      </c>
      <c r="M73" s="33"/>
      <c r="N73" s="33">
        <f t="shared" si="4"/>
        <v>0</v>
      </c>
      <c r="O73" s="33"/>
      <c r="P73" s="33">
        <f t="shared" si="5"/>
        <v>0</v>
      </c>
      <c r="Q73" s="50"/>
      <c r="R73" s="50"/>
      <c r="S73" s="51"/>
      <c r="T73" s="52"/>
      <c r="U73" s="53"/>
      <c r="V73" s="53"/>
      <c r="W73" s="54"/>
      <c r="X73" s="55"/>
      <c r="Y73" s="56"/>
      <c r="Z73" s="56"/>
    </row>
    <row r="74" ht="36" customHeight="1" spans="1:26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>
        <f t="shared" si="3"/>
        <v>0</v>
      </c>
      <c r="M74" s="33"/>
      <c r="N74" s="33">
        <f t="shared" si="4"/>
        <v>0</v>
      </c>
      <c r="O74" s="33"/>
      <c r="P74" s="33">
        <f t="shared" si="5"/>
        <v>0</v>
      </c>
      <c r="Q74" s="50"/>
      <c r="R74" s="50"/>
      <c r="S74" s="51"/>
      <c r="T74" s="52"/>
      <c r="U74" s="53"/>
      <c r="V74" s="53"/>
      <c r="W74" s="54"/>
      <c r="X74" s="55"/>
      <c r="Y74" s="56"/>
      <c r="Z74" s="56"/>
    </row>
    <row r="75" ht="36" customHeight="1" spans="1:26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>
        <f t="shared" si="3"/>
        <v>0</v>
      </c>
      <c r="M75" s="33"/>
      <c r="N75" s="33">
        <f t="shared" si="4"/>
        <v>0</v>
      </c>
      <c r="O75" s="33"/>
      <c r="P75" s="33">
        <f t="shared" si="5"/>
        <v>0</v>
      </c>
      <c r="Q75" s="50"/>
      <c r="R75" s="50"/>
      <c r="S75" s="51"/>
      <c r="T75" s="52"/>
      <c r="U75" s="53"/>
      <c r="V75" s="53"/>
      <c r="W75" s="54"/>
      <c r="X75" s="55"/>
      <c r="Y75" s="56"/>
      <c r="Z75" s="56"/>
    </row>
    <row r="76" ht="36" customHeight="1" spans="1:2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>
        <f t="shared" si="3"/>
        <v>0</v>
      </c>
      <c r="M76" s="33"/>
      <c r="N76" s="33">
        <f t="shared" si="4"/>
        <v>0</v>
      </c>
      <c r="O76" s="33"/>
      <c r="P76" s="33">
        <f t="shared" si="5"/>
        <v>0</v>
      </c>
      <c r="Q76" s="50"/>
      <c r="R76" s="50"/>
      <c r="S76" s="51"/>
      <c r="T76" s="52"/>
      <c r="U76" s="53"/>
      <c r="V76" s="53"/>
      <c r="W76" s="54"/>
      <c r="X76" s="55"/>
      <c r="Y76" s="56"/>
      <c r="Z76" s="56"/>
    </row>
    <row r="77" ht="36" customHeight="1" spans="1:26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>
        <f t="shared" si="3"/>
        <v>0</v>
      </c>
      <c r="M77" s="33"/>
      <c r="N77" s="33">
        <f t="shared" si="4"/>
        <v>0</v>
      </c>
      <c r="O77" s="33"/>
      <c r="P77" s="33">
        <f t="shared" si="5"/>
        <v>0</v>
      </c>
      <c r="Q77" s="50"/>
      <c r="R77" s="50"/>
      <c r="S77" s="51"/>
      <c r="T77" s="52"/>
      <c r="U77" s="53"/>
      <c r="V77" s="53"/>
      <c r="W77" s="54"/>
      <c r="X77" s="55"/>
      <c r="Y77" s="56"/>
      <c r="Z77" s="56"/>
    </row>
    <row r="78" ht="36" customHeight="1" spans="1:26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>
        <f t="shared" ref="L78:L87" si="6">J78*K78</f>
        <v>0</v>
      </c>
      <c r="M78" s="33"/>
      <c r="N78" s="33">
        <f t="shared" ref="N78:N87" si="7">G78*H78*I78*K78/1000000</f>
        <v>0</v>
      </c>
      <c r="O78" s="33"/>
      <c r="P78" s="33">
        <f t="shared" ref="P78:P87" si="8">L78*O78</f>
        <v>0</v>
      </c>
      <c r="Q78" s="50"/>
      <c r="R78" s="50"/>
      <c r="S78" s="51"/>
      <c r="T78" s="52"/>
      <c r="U78" s="53"/>
      <c r="V78" s="53"/>
      <c r="W78" s="54"/>
      <c r="X78" s="55"/>
      <c r="Y78" s="56"/>
      <c r="Z78" s="56"/>
    </row>
    <row r="79" ht="36" customHeight="1" spans="1:26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>
        <f t="shared" si="6"/>
        <v>0</v>
      </c>
      <c r="M79" s="33"/>
      <c r="N79" s="33">
        <f t="shared" si="7"/>
        <v>0</v>
      </c>
      <c r="O79" s="33"/>
      <c r="P79" s="33">
        <f t="shared" si="8"/>
        <v>0</v>
      </c>
      <c r="Q79" s="50"/>
      <c r="R79" s="50"/>
      <c r="S79" s="51"/>
      <c r="T79" s="52"/>
      <c r="U79" s="53"/>
      <c r="V79" s="53"/>
      <c r="W79" s="54"/>
      <c r="X79" s="55"/>
      <c r="Y79" s="56"/>
      <c r="Z79" s="56"/>
    </row>
    <row r="80" ht="36" customHeight="1" spans="1:26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>
        <f t="shared" si="6"/>
        <v>0</v>
      </c>
      <c r="M80" s="33"/>
      <c r="N80" s="33">
        <f t="shared" si="7"/>
        <v>0</v>
      </c>
      <c r="O80" s="33"/>
      <c r="P80" s="33">
        <f t="shared" si="8"/>
        <v>0</v>
      </c>
      <c r="Q80" s="50"/>
      <c r="R80" s="50"/>
      <c r="S80" s="51"/>
      <c r="T80" s="52"/>
      <c r="U80" s="53"/>
      <c r="V80" s="53"/>
      <c r="W80" s="54"/>
      <c r="X80" s="55"/>
      <c r="Y80" s="56"/>
      <c r="Z80" s="56"/>
    </row>
    <row r="81" ht="36" customHeight="1" spans="1:26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>
        <f t="shared" si="6"/>
        <v>0</v>
      </c>
      <c r="M81" s="33"/>
      <c r="N81" s="33">
        <f t="shared" si="7"/>
        <v>0</v>
      </c>
      <c r="O81" s="33"/>
      <c r="P81" s="33">
        <f t="shared" si="8"/>
        <v>0</v>
      </c>
      <c r="Q81" s="50"/>
      <c r="R81" s="50"/>
      <c r="S81" s="51"/>
      <c r="T81" s="52"/>
      <c r="U81" s="53"/>
      <c r="V81" s="53"/>
      <c r="W81" s="54"/>
      <c r="X81" s="55"/>
      <c r="Y81" s="56"/>
      <c r="Z81" s="56"/>
    </row>
    <row r="82" ht="36" customHeight="1" spans="1:26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>
        <f t="shared" si="6"/>
        <v>0</v>
      </c>
      <c r="M82" s="33"/>
      <c r="N82" s="33">
        <f t="shared" si="7"/>
        <v>0</v>
      </c>
      <c r="O82" s="33"/>
      <c r="P82" s="33">
        <f t="shared" si="8"/>
        <v>0</v>
      </c>
      <c r="Q82" s="50"/>
      <c r="R82" s="50"/>
      <c r="S82" s="51"/>
      <c r="T82" s="52"/>
      <c r="U82" s="53"/>
      <c r="V82" s="53"/>
      <c r="W82" s="54"/>
      <c r="X82" s="55"/>
      <c r="Y82" s="56"/>
      <c r="Z82" s="56"/>
    </row>
    <row r="83" ht="36" customHeight="1" spans="1:26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>
        <f t="shared" si="6"/>
        <v>0</v>
      </c>
      <c r="M83" s="33"/>
      <c r="N83" s="33">
        <f t="shared" si="7"/>
        <v>0</v>
      </c>
      <c r="O83" s="33"/>
      <c r="P83" s="33">
        <f t="shared" si="8"/>
        <v>0</v>
      </c>
      <c r="Q83" s="50"/>
      <c r="R83" s="50"/>
      <c r="S83" s="51"/>
      <c r="T83" s="52"/>
      <c r="U83" s="53"/>
      <c r="V83" s="53"/>
      <c r="W83" s="54"/>
      <c r="X83" s="55"/>
      <c r="Y83" s="56"/>
      <c r="Z83" s="56"/>
    </row>
    <row r="84" ht="36" customHeight="1" spans="1:26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>
        <f t="shared" si="6"/>
        <v>0</v>
      </c>
      <c r="M84" s="33"/>
      <c r="N84" s="33">
        <f t="shared" si="7"/>
        <v>0</v>
      </c>
      <c r="O84" s="33"/>
      <c r="P84" s="33">
        <f t="shared" si="8"/>
        <v>0</v>
      </c>
      <c r="Q84" s="50"/>
      <c r="R84" s="50"/>
      <c r="S84" s="51"/>
      <c r="T84" s="52"/>
      <c r="U84" s="53"/>
      <c r="V84" s="53"/>
      <c r="W84" s="54"/>
      <c r="X84" s="55"/>
      <c r="Y84" s="56"/>
      <c r="Z84" s="56"/>
    </row>
    <row r="85" ht="36" customHeight="1" spans="1:26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>
        <f t="shared" si="6"/>
        <v>0</v>
      </c>
      <c r="M85" s="33"/>
      <c r="N85" s="33">
        <f t="shared" si="7"/>
        <v>0</v>
      </c>
      <c r="O85" s="33"/>
      <c r="P85" s="33">
        <f t="shared" si="8"/>
        <v>0</v>
      </c>
      <c r="Q85" s="50"/>
      <c r="R85" s="50"/>
      <c r="S85" s="51"/>
      <c r="T85" s="52"/>
      <c r="U85" s="53"/>
      <c r="V85" s="53"/>
      <c r="W85" s="54"/>
      <c r="X85" s="55"/>
      <c r="Y85" s="56"/>
      <c r="Z85" s="56"/>
    </row>
    <row r="86" ht="36" customHeight="1" spans="1:2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>
        <f t="shared" si="6"/>
        <v>0</v>
      </c>
      <c r="M86" s="33"/>
      <c r="N86" s="33">
        <f t="shared" si="7"/>
        <v>0</v>
      </c>
      <c r="O86" s="33"/>
      <c r="P86" s="33">
        <f t="shared" si="8"/>
        <v>0</v>
      </c>
      <c r="Q86" s="50"/>
      <c r="R86" s="50"/>
      <c r="S86" s="51"/>
      <c r="T86" s="52"/>
      <c r="U86" s="53"/>
      <c r="V86" s="53"/>
      <c r="W86" s="54"/>
      <c r="X86" s="55"/>
      <c r="Y86" s="56"/>
      <c r="Z86" s="56"/>
    </row>
    <row r="87" ht="36" customHeight="1" spans="1:26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>
        <f t="shared" si="6"/>
        <v>0</v>
      </c>
      <c r="M87" s="33"/>
      <c r="N87" s="33">
        <f t="shared" si="7"/>
        <v>0</v>
      </c>
      <c r="O87" s="33"/>
      <c r="P87" s="33">
        <f t="shared" si="8"/>
        <v>0</v>
      </c>
      <c r="Q87" s="50"/>
      <c r="R87" s="50"/>
      <c r="S87" s="51"/>
      <c r="T87" s="52"/>
      <c r="U87" s="53"/>
      <c r="V87" s="53"/>
      <c r="W87" s="54"/>
      <c r="X87" s="55"/>
      <c r="Y87" s="56"/>
      <c r="Z87" s="56"/>
    </row>
    <row r="88" ht="36" customHeight="1" spans="1:26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>
        <f t="shared" ref="L88:L98" si="9">J88*K88</f>
        <v>0</v>
      </c>
      <c r="M88" s="33"/>
      <c r="N88" s="33">
        <f t="shared" ref="N88:N98" si="10">G88*H88*I88*K88/1000000</f>
        <v>0</v>
      </c>
      <c r="O88" s="33"/>
      <c r="P88" s="33">
        <f t="shared" ref="P88:P98" si="11">L88*O88</f>
        <v>0</v>
      </c>
      <c r="Q88" s="50"/>
      <c r="R88" s="50"/>
      <c r="S88" s="51"/>
      <c r="T88" s="52"/>
      <c r="U88" s="53"/>
      <c r="V88" s="53"/>
      <c r="W88" s="54"/>
      <c r="X88" s="55"/>
      <c r="Y88" s="56"/>
      <c r="Z88" s="56"/>
    </row>
    <row r="89" ht="36" customHeight="1" spans="1:26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>
        <f t="shared" si="9"/>
        <v>0</v>
      </c>
      <c r="M89" s="33"/>
      <c r="N89" s="33">
        <f t="shared" si="10"/>
        <v>0</v>
      </c>
      <c r="O89" s="33"/>
      <c r="P89" s="33">
        <f t="shared" si="11"/>
        <v>0</v>
      </c>
      <c r="Q89" s="50"/>
      <c r="R89" s="50"/>
      <c r="S89" s="51"/>
      <c r="T89" s="52"/>
      <c r="U89" s="53"/>
      <c r="V89" s="53"/>
      <c r="W89" s="54"/>
      <c r="X89" s="55"/>
      <c r="Y89" s="56"/>
      <c r="Z89" s="56"/>
    </row>
    <row r="90" ht="36" customHeight="1" spans="1:26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>
        <f t="shared" si="9"/>
        <v>0</v>
      </c>
      <c r="M90" s="33"/>
      <c r="N90" s="33">
        <f t="shared" si="10"/>
        <v>0</v>
      </c>
      <c r="O90" s="33"/>
      <c r="P90" s="33">
        <f t="shared" si="11"/>
        <v>0</v>
      </c>
      <c r="Q90" s="50"/>
      <c r="R90" s="50"/>
      <c r="S90" s="51"/>
      <c r="T90" s="52"/>
      <c r="U90" s="53"/>
      <c r="V90" s="53"/>
      <c r="W90" s="54"/>
      <c r="X90" s="55"/>
      <c r="Y90" s="56"/>
      <c r="Z90" s="56"/>
    </row>
    <row r="91" ht="36" customHeight="1" spans="1:26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>
        <f t="shared" si="9"/>
        <v>0</v>
      </c>
      <c r="M91" s="33"/>
      <c r="N91" s="33">
        <f t="shared" si="10"/>
        <v>0</v>
      </c>
      <c r="O91" s="33"/>
      <c r="P91" s="33">
        <f t="shared" si="11"/>
        <v>0</v>
      </c>
      <c r="Q91" s="50"/>
      <c r="R91" s="50"/>
      <c r="S91" s="51"/>
      <c r="T91" s="52"/>
      <c r="U91" s="53"/>
      <c r="V91" s="53"/>
      <c r="W91" s="54"/>
      <c r="X91" s="55"/>
      <c r="Y91" s="56"/>
      <c r="Z91" s="56"/>
    </row>
    <row r="92" ht="36" customHeight="1" spans="1:26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>
        <f t="shared" si="9"/>
        <v>0</v>
      </c>
      <c r="M92" s="33"/>
      <c r="N92" s="33">
        <f t="shared" si="10"/>
        <v>0</v>
      </c>
      <c r="O92" s="33"/>
      <c r="P92" s="33">
        <f t="shared" si="11"/>
        <v>0</v>
      </c>
      <c r="Q92" s="50"/>
      <c r="R92" s="50"/>
      <c r="S92" s="51"/>
      <c r="T92" s="52"/>
      <c r="U92" s="53"/>
      <c r="V92" s="53"/>
      <c r="W92" s="54"/>
      <c r="X92" s="55"/>
      <c r="Y92" s="56"/>
      <c r="Z92" s="56"/>
    </row>
    <row r="93" ht="36" customHeight="1" spans="1:26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>
        <f t="shared" si="9"/>
        <v>0</v>
      </c>
      <c r="M93" s="33"/>
      <c r="N93" s="33">
        <f t="shared" si="10"/>
        <v>0</v>
      </c>
      <c r="O93" s="33"/>
      <c r="P93" s="33">
        <f t="shared" si="11"/>
        <v>0</v>
      </c>
      <c r="Q93" s="50"/>
      <c r="R93" s="50"/>
      <c r="S93" s="51"/>
      <c r="T93" s="52"/>
      <c r="U93" s="53"/>
      <c r="V93" s="53"/>
      <c r="W93" s="54"/>
      <c r="X93" s="55"/>
      <c r="Y93" s="56"/>
      <c r="Z93" s="56"/>
    </row>
    <row r="94" ht="36" customHeight="1" spans="1:26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>
        <f t="shared" si="9"/>
        <v>0</v>
      </c>
      <c r="M94" s="33"/>
      <c r="N94" s="33">
        <f t="shared" si="10"/>
        <v>0</v>
      </c>
      <c r="O94" s="33"/>
      <c r="P94" s="33">
        <f t="shared" si="11"/>
        <v>0</v>
      </c>
      <c r="Q94" s="50"/>
      <c r="R94" s="50"/>
      <c r="S94" s="51"/>
      <c r="T94" s="52"/>
      <c r="U94" s="53"/>
      <c r="V94" s="53"/>
      <c r="W94" s="54"/>
      <c r="X94" s="55"/>
      <c r="Y94" s="56"/>
      <c r="Z94" s="56"/>
    </row>
    <row r="95" ht="36" customHeight="1" spans="1:26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>
        <f t="shared" si="9"/>
        <v>0</v>
      </c>
      <c r="M95" s="33"/>
      <c r="N95" s="33">
        <f t="shared" si="10"/>
        <v>0</v>
      </c>
      <c r="O95" s="33"/>
      <c r="P95" s="33">
        <f t="shared" si="11"/>
        <v>0</v>
      </c>
      <c r="Q95" s="50"/>
      <c r="R95" s="50"/>
      <c r="S95" s="51"/>
      <c r="T95" s="52"/>
      <c r="U95" s="53"/>
      <c r="V95" s="53"/>
      <c r="W95" s="54"/>
      <c r="X95" s="55"/>
      <c r="Y95" s="56"/>
      <c r="Z95" s="56"/>
    </row>
    <row r="96" ht="36" customHeight="1" spans="1:2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>
        <f t="shared" si="9"/>
        <v>0</v>
      </c>
      <c r="M96" s="33"/>
      <c r="N96" s="33">
        <f t="shared" si="10"/>
        <v>0</v>
      </c>
      <c r="O96" s="33"/>
      <c r="P96" s="33">
        <f t="shared" si="11"/>
        <v>0</v>
      </c>
      <c r="Q96" s="50"/>
      <c r="R96" s="50"/>
      <c r="S96" s="51"/>
      <c r="T96" s="52"/>
      <c r="U96" s="53"/>
      <c r="V96" s="53"/>
      <c r="W96" s="54"/>
      <c r="X96" s="55"/>
      <c r="Y96" s="56"/>
      <c r="Z96" s="56"/>
    </row>
    <row r="97" ht="36" customHeight="1" spans="1:26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>
        <f t="shared" si="9"/>
        <v>0</v>
      </c>
      <c r="M97" s="33"/>
      <c r="N97" s="33">
        <f t="shared" si="10"/>
        <v>0</v>
      </c>
      <c r="O97" s="33"/>
      <c r="P97" s="33">
        <f t="shared" si="11"/>
        <v>0</v>
      </c>
      <c r="Q97" s="50"/>
      <c r="R97" s="50"/>
      <c r="S97" s="51"/>
      <c r="T97" s="52"/>
      <c r="U97" s="53"/>
      <c r="V97" s="53"/>
      <c r="W97" s="54"/>
      <c r="X97" s="55"/>
      <c r="Y97" s="56"/>
      <c r="Z97" s="56"/>
    </row>
    <row r="98" ht="36" customHeight="1" spans="1:26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>
        <f t="shared" si="9"/>
        <v>0</v>
      </c>
      <c r="M98" s="33"/>
      <c r="N98" s="33">
        <f t="shared" si="10"/>
        <v>0</v>
      </c>
      <c r="O98" s="33"/>
      <c r="P98" s="33">
        <f t="shared" si="11"/>
        <v>0</v>
      </c>
      <c r="Q98" s="50"/>
      <c r="R98" s="50"/>
      <c r="S98" s="51"/>
      <c r="T98" s="52"/>
      <c r="U98" s="53"/>
      <c r="V98" s="53"/>
      <c r="W98" s="54"/>
      <c r="X98" s="55"/>
      <c r="Y98" s="56"/>
      <c r="Z98" s="56"/>
    </row>
    <row r="99" ht="36" customHeight="1" spans="1:26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>
        <f t="shared" ref="L99:L130" si="12">J99*K99</f>
        <v>0</v>
      </c>
      <c r="M99" s="33"/>
      <c r="N99" s="33">
        <f t="shared" ref="N99:N130" si="13">G99*H99*I99*K99/1000000</f>
        <v>0</v>
      </c>
      <c r="O99" s="33"/>
      <c r="P99" s="33">
        <f t="shared" ref="P99:P130" si="14">L99*O99</f>
        <v>0</v>
      </c>
      <c r="Q99" s="50"/>
      <c r="R99" s="50"/>
      <c r="S99" s="51"/>
      <c r="T99" s="52"/>
      <c r="U99" s="53"/>
      <c r="V99" s="53"/>
      <c r="W99" s="54"/>
      <c r="X99" s="55"/>
      <c r="Y99" s="56"/>
      <c r="Z99" s="56"/>
    </row>
    <row r="100" ht="36" customHeight="1" spans="1:26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>
        <f t="shared" si="12"/>
        <v>0</v>
      </c>
      <c r="M100" s="33"/>
      <c r="N100" s="33">
        <f t="shared" si="13"/>
        <v>0</v>
      </c>
      <c r="O100" s="33"/>
      <c r="P100" s="33">
        <f t="shared" si="14"/>
        <v>0</v>
      </c>
      <c r="Q100" s="50"/>
      <c r="R100" s="50"/>
      <c r="S100" s="51"/>
      <c r="T100" s="52"/>
      <c r="U100" s="53"/>
      <c r="V100" s="53"/>
      <c r="W100" s="54"/>
      <c r="X100" s="55"/>
      <c r="Y100" s="56"/>
      <c r="Z100" s="56"/>
    </row>
    <row r="101" ht="36" customHeight="1" spans="1:26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>
        <f t="shared" si="12"/>
        <v>0</v>
      </c>
      <c r="M101" s="33"/>
      <c r="N101" s="33">
        <f t="shared" si="13"/>
        <v>0</v>
      </c>
      <c r="O101" s="33"/>
      <c r="P101" s="33">
        <f t="shared" si="14"/>
        <v>0</v>
      </c>
      <c r="Q101" s="50"/>
      <c r="R101" s="50"/>
      <c r="S101" s="51"/>
      <c r="T101" s="52"/>
      <c r="U101" s="53"/>
      <c r="V101" s="53"/>
      <c r="W101" s="54"/>
      <c r="X101" s="55"/>
      <c r="Y101" s="56"/>
      <c r="Z101" s="56"/>
    </row>
    <row r="102" ht="36" customHeight="1" spans="1:26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>
        <f t="shared" si="12"/>
        <v>0</v>
      </c>
      <c r="M102" s="33"/>
      <c r="N102" s="33">
        <f t="shared" si="13"/>
        <v>0</v>
      </c>
      <c r="O102" s="33"/>
      <c r="P102" s="33">
        <f t="shared" si="14"/>
        <v>0</v>
      </c>
      <c r="Q102" s="50"/>
      <c r="R102" s="50"/>
      <c r="S102" s="51"/>
      <c r="T102" s="52"/>
      <c r="U102" s="53"/>
      <c r="V102" s="53"/>
      <c r="W102" s="54"/>
      <c r="X102" s="55"/>
      <c r="Y102" s="56"/>
      <c r="Z102" s="56"/>
    </row>
    <row r="103" ht="36" customHeight="1" spans="1:26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>
        <f t="shared" si="12"/>
        <v>0</v>
      </c>
      <c r="M103" s="33"/>
      <c r="N103" s="33">
        <f t="shared" si="13"/>
        <v>0</v>
      </c>
      <c r="O103" s="33"/>
      <c r="P103" s="33">
        <f t="shared" si="14"/>
        <v>0</v>
      </c>
      <c r="Q103" s="50"/>
      <c r="R103" s="50"/>
      <c r="S103" s="51"/>
      <c r="T103" s="52"/>
      <c r="U103" s="53"/>
      <c r="V103" s="53"/>
      <c r="W103" s="54"/>
      <c r="X103" s="55"/>
      <c r="Y103" s="56"/>
      <c r="Z103" s="56"/>
    </row>
    <row r="104" ht="36" customHeight="1" spans="1:26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>
        <f t="shared" si="12"/>
        <v>0</v>
      </c>
      <c r="M104" s="33"/>
      <c r="N104" s="33">
        <f t="shared" si="13"/>
        <v>0</v>
      </c>
      <c r="O104" s="33"/>
      <c r="P104" s="33">
        <f t="shared" si="14"/>
        <v>0</v>
      </c>
      <c r="Q104" s="50"/>
      <c r="R104" s="50"/>
      <c r="S104" s="51"/>
      <c r="T104" s="52"/>
      <c r="U104" s="53"/>
      <c r="V104" s="53"/>
      <c r="W104" s="54"/>
      <c r="X104" s="55"/>
      <c r="Y104" s="56"/>
      <c r="Z104" s="56"/>
    </row>
    <row r="105" ht="36" customHeight="1" spans="1:26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>
        <f t="shared" si="12"/>
        <v>0</v>
      </c>
      <c r="M105" s="33"/>
      <c r="N105" s="33">
        <f t="shared" si="13"/>
        <v>0</v>
      </c>
      <c r="O105" s="33"/>
      <c r="P105" s="33">
        <f t="shared" si="14"/>
        <v>0</v>
      </c>
      <c r="Q105" s="50"/>
      <c r="R105" s="50"/>
      <c r="S105" s="51"/>
      <c r="T105" s="52"/>
      <c r="U105" s="53"/>
      <c r="V105" s="53"/>
      <c r="W105" s="54"/>
      <c r="X105" s="55"/>
      <c r="Y105" s="56"/>
      <c r="Z105" s="56"/>
    </row>
    <row r="106" ht="36" customHeight="1" spans="1:2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>
        <f t="shared" si="12"/>
        <v>0</v>
      </c>
      <c r="M106" s="33"/>
      <c r="N106" s="33">
        <f t="shared" si="13"/>
        <v>0</v>
      </c>
      <c r="O106" s="33"/>
      <c r="P106" s="33">
        <f t="shared" si="14"/>
        <v>0</v>
      </c>
      <c r="Q106" s="50"/>
      <c r="R106" s="50"/>
      <c r="S106" s="51"/>
      <c r="T106" s="52"/>
      <c r="U106" s="53"/>
      <c r="V106" s="53"/>
      <c r="W106" s="54"/>
      <c r="X106" s="55"/>
      <c r="Y106" s="56"/>
      <c r="Z106" s="56"/>
    </row>
    <row r="107" ht="36" customHeight="1" spans="1:26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>
        <f t="shared" si="12"/>
        <v>0</v>
      </c>
      <c r="M107" s="33"/>
      <c r="N107" s="33">
        <f t="shared" si="13"/>
        <v>0</v>
      </c>
      <c r="O107" s="33"/>
      <c r="P107" s="33">
        <f t="shared" si="14"/>
        <v>0</v>
      </c>
      <c r="Q107" s="50"/>
      <c r="R107" s="50"/>
      <c r="S107" s="51"/>
      <c r="T107" s="52"/>
      <c r="U107" s="53"/>
      <c r="V107" s="53"/>
      <c r="W107" s="54"/>
      <c r="X107" s="55"/>
      <c r="Y107" s="56"/>
      <c r="Z107" s="56"/>
    </row>
    <row r="108" ht="36" customHeight="1" spans="1:26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>
        <f t="shared" si="12"/>
        <v>0</v>
      </c>
      <c r="M108" s="33"/>
      <c r="N108" s="33">
        <f t="shared" si="13"/>
        <v>0</v>
      </c>
      <c r="O108" s="33"/>
      <c r="P108" s="33">
        <f t="shared" si="14"/>
        <v>0</v>
      </c>
      <c r="Q108" s="50"/>
      <c r="R108" s="50"/>
      <c r="S108" s="51"/>
      <c r="T108" s="52"/>
      <c r="U108" s="53"/>
      <c r="V108" s="53"/>
      <c r="W108" s="54"/>
      <c r="X108" s="55"/>
      <c r="Y108" s="56"/>
      <c r="Z108" s="56"/>
    </row>
    <row r="109" ht="36" customHeight="1" spans="1:26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>
        <f t="shared" si="12"/>
        <v>0</v>
      </c>
      <c r="M109" s="33"/>
      <c r="N109" s="33">
        <f t="shared" si="13"/>
        <v>0</v>
      </c>
      <c r="O109" s="33"/>
      <c r="P109" s="33">
        <f t="shared" si="14"/>
        <v>0</v>
      </c>
      <c r="Q109" s="50"/>
      <c r="R109" s="50"/>
      <c r="S109" s="51"/>
      <c r="T109" s="52"/>
      <c r="U109" s="53"/>
      <c r="V109" s="53"/>
      <c r="W109" s="54"/>
      <c r="X109" s="55"/>
      <c r="Y109" s="56"/>
      <c r="Z109" s="56"/>
    </row>
    <row r="110" ht="36" customHeight="1" spans="1:26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>
        <f t="shared" si="12"/>
        <v>0</v>
      </c>
      <c r="M110" s="33"/>
      <c r="N110" s="33">
        <f t="shared" si="13"/>
        <v>0</v>
      </c>
      <c r="O110" s="33"/>
      <c r="P110" s="33">
        <f t="shared" si="14"/>
        <v>0</v>
      </c>
      <c r="Q110" s="50"/>
      <c r="R110" s="50"/>
      <c r="S110" s="51"/>
      <c r="T110" s="52"/>
      <c r="U110" s="53"/>
      <c r="V110" s="53"/>
      <c r="W110" s="54"/>
      <c r="X110" s="55"/>
      <c r="Y110" s="56"/>
      <c r="Z110" s="56"/>
    </row>
    <row r="111" ht="36" customHeight="1" spans="1:26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>
        <f t="shared" si="12"/>
        <v>0</v>
      </c>
      <c r="M111" s="33"/>
      <c r="N111" s="33">
        <f t="shared" si="13"/>
        <v>0</v>
      </c>
      <c r="O111" s="33"/>
      <c r="P111" s="33">
        <f t="shared" si="14"/>
        <v>0</v>
      </c>
      <c r="Q111" s="50"/>
      <c r="R111" s="50"/>
      <c r="S111" s="51"/>
      <c r="T111" s="52"/>
      <c r="U111" s="53"/>
      <c r="V111" s="53"/>
      <c r="W111" s="54"/>
      <c r="X111" s="55"/>
      <c r="Y111" s="56"/>
      <c r="Z111" s="56"/>
    </row>
    <row r="112" ht="36" customHeight="1" spans="1:26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>
        <f t="shared" si="12"/>
        <v>0</v>
      </c>
      <c r="M112" s="33"/>
      <c r="N112" s="33">
        <f t="shared" si="13"/>
        <v>0</v>
      </c>
      <c r="O112" s="33"/>
      <c r="P112" s="33">
        <f t="shared" si="14"/>
        <v>0</v>
      </c>
      <c r="Q112" s="50"/>
      <c r="R112" s="50"/>
      <c r="S112" s="51"/>
      <c r="T112" s="52"/>
      <c r="U112" s="53"/>
      <c r="V112" s="53"/>
      <c r="W112" s="54"/>
      <c r="X112" s="55"/>
      <c r="Y112" s="56"/>
      <c r="Z112" s="56"/>
    </row>
    <row r="113" ht="36" customHeight="1" spans="1:26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>
        <f t="shared" si="12"/>
        <v>0</v>
      </c>
      <c r="M113" s="33"/>
      <c r="N113" s="33">
        <f t="shared" si="13"/>
        <v>0</v>
      </c>
      <c r="O113" s="33"/>
      <c r="P113" s="33">
        <f t="shared" si="14"/>
        <v>0</v>
      </c>
      <c r="Q113" s="50"/>
      <c r="R113" s="50"/>
      <c r="S113" s="51"/>
      <c r="T113" s="52"/>
      <c r="U113" s="53"/>
      <c r="V113" s="53"/>
      <c r="W113" s="54"/>
      <c r="X113" s="55"/>
      <c r="Y113" s="56"/>
      <c r="Z113" s="56"/>
    </row>
    <row r="114" ht="36" customHeight="1" spans="1:26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>
        <f t="shared" si="12"/>
        <v>0</v>
      </c>
      <c r="M114" s="33"/>
      <c r="N114" s="33">
        <f t="shared" si="13"/>
        <v>0</v>
      </c>
      <c r="O114" s="33"/>
      <c r="P114" s="33">
        <f t="shared" si="14"/>
        <v>0</v>
      </c>
      <c r="Q114" s="50"/>
      <c r="R114" s="50"/>
      <c r="S114" s="51"/>
      <c r="T114" s="52"/>
      <c r="U114" s="53"/>
      <c r="V114" s="53"/>
      <c r="W114" s="54"/>
      <c r="X114" s="55"/>
      <c r="Y114" s="56"/>
      <c r="Z114" s="56"/>
    </row>
    <row r="115" ht="36" customHeight="1" spans="1:26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>
        <f t="shared" si="12"/>
        <v>0</v>
      </c>
      <c r="M115" s="33"/>
      <c r="N115" s="33">
        <f t="shared" si="13"/>
        <v>0</v>
      </c>
      <c r="O115" s="33"/>
      <c r="P115" s="33">
        <f t="shared" si="14"/>
        <v>0</v>
      </c>
      <c r="Q115" s="50"/>
      <c r="R115" s="50"/>
      <c r="S115" s="51"/>
      <c r="T115" s="52"/>
      <c r="U115" s="53"/>
      <c r="V115" s="53"/>
      <c r="W115" s="54"/>
      <c r="X115" s="55"/>
      <c r="Y115" s="56"/>
      <c r="Z115" s="56"/>
    </row>
    <row r="116" ht="36" customHeight="1" spans="1:2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>
        <f t="shared" si="12"/>
        <v>0</v>
      </c>
      <c r="M116" s="33"/>
      <c r="N116" s="33">
        <f t="shared" si="13"/>
        <v>0</v>
      </c>
      <c r="O116" s="33"/>
      <c r="P116" s="33">
        <f t="shared" si="14"/>
        <v>0</v>
      </c>
      <c r="Q116" s="50"/>
      <c r="R116" s="50"/>
      <c r="S116" s="51"/>
      <c r="T116" s="52"/>
      <c r="U116" s="53"/>
      <c r="V116" s="53"/>
      <c r="W116" s="54"/>
      <c r="X116" s="55"/>
      <c r="Y116" s="56"/>
      <c r="Z116" s="56"/>
    </row>
    <row r="117" ht="36" customHeight="1" spans="1:26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>
        <f t="shared" si="12"/>
        <v>0</v>
      </c>
      <c r="M117" s="33"/>
      <c r="N117" s="33">
        <f t="shared" si="13"/>
        <v>0</v>
      </c>
      <c r="O117" s="33"/>
      <c r="P117" s="33">
        <f t="shared" si="14"/>
        <v>0</v>
      </c>
      <c r="Q117" s="50"/>
      <c r="R117" s="50"/>
      <c r="S117" s="51"/>
      <c r="T117" s="52"/>
      <c r="U117" s="53"/>
      <c r="V117" s="53"/>
      <c r="W117" s="54"/>
      <c r="X117" s="55"/>
      <c r="Y117" s="56"/>
      <c r="Z117" s="56"/>
    </row>
    <row r="118" ht="36" customHeight="1" spans="1:26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>
        <f t="shared" si="12"/>
        <v>0</v>
      </c>
      <c r="M118" s="33"/>
      <c r="N118" s="33">
        <f t="shared" si="13"/>
        <v>0</v>
      </c>
      <c r="O118" s="33"/>
      <c r="P118" s="33">
        <f t="shared" si="14"/>
        <v>0</v>
      </c>
      <c r="Q118" s="50"/>
      <c r="R118" s="50"/>
      <c r="S118" s="51"/>
      <c r="T118" s="52"/>
      <c r="U118" s="53"/>
      <c r="V118" s="53"/>
      <c r="W118" s="54"/>
      <c r="X118" s="55"/>
      <c r="Y118" s="56"/>
      <c r="Z118" s="56"/>
    </row>
    <row r="119" ht="36" customHeight="1" spans="1:26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>
        <f t="shared" si="12"/>
        <v>0</v>
      </c>
      <c r="M119" s="33"/>
      <c r="N119" s="33">
        <f t="shared" si="13"/>
        <v>0</v>
      </c>
      <c r="O119" s="33"/>
      <c r="P119" s="33">
        <f t="shared" si="14"/>
        <v>0</v>
      </c>
      <c r="Q119" s="50"/>
      <c r="R119" s="50"/>
      <c r="S119" s="51"/>
      <c r="T119" s="52"/>
      <c r="U119" s="53"/>
      <c r="V119" s="53"/>
      <c r="W119" s="54"/>
      <c r="X119" s="55"/>
      <c r="Y119" s="56"/>
      <c r="Z119" s="56"/>
    </row>
    <row r="120" ht="36" customHeight="1" spans="1:26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>
        <f t="shared" si="12"/>
        <v>0</v>
      </c>
      <c r="M120" s="33"/>
      <c r="N120" s="33">
        <f t="shared" si="13"/>
        <v>0</v>
      </c>
      <c r="O120" s="33"/>
      <c r="P120" s="33">
        <f t="shared" si="14"/>
        <v>0</v>
      </c>
      <c r="Q120" s="50"/>
      <c r="R120" s="50"/>
      <c r="S120" s="51"/>
      <c r="T120" s="52"/>
      <c r="U120" s="53"/>
      <c r="V120" s="53"/>
      <c r="W120" s="54"/>
      <c r="X120" s="55"/>
      <c r="Y120" s="56"/>
      <c r="Z120" s="56"/>
    </row>
    <row r="121" ht="36" customHeight="1" spans="1:26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>
        <f t="shared" si="12"/>
        <v>0</v>
      </c>
      <c r="M121" s="33"/>
      <c r="N121" s="33">
        <f t="shared" si="13"/>
        <v>0</v>
      </c>
      <c r="O121" s="33"/>
      <c r="P121" s="33">
        <f t="shared" si="14"/>
        <v>0</v>
      </c>
      <c r="Q121" s="50"/>
      <c r="R121" s="50"/>
      <c r="S121" s="51"/>
      <c r="T121" s="52"/>
      <c r="U121" s="53"/>
      <c r="V121" s="53"/>
      <c r="W121" s="54"/>
      <c r="X121" s="55"/>
      <c r="Y121" s="56"/>
      <c r="Z121" s="56"/>
    </row>
    <row r="122" ht="36" customHeight="1" spans="1:26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>
        <f t="shared" si="12"/>
        <v>0</v>
      </c>
      <c r="M122" s="33"/>
      <c r="N122" s="33">
        <f t="shared" si="13"/>
        <v>0</v>
      </c>
      <c r="O122" s="33"/>
      <c r="P122" s="33">
        <f t="shared" si="14"/>
        <v>0</v>
      </c>
      <c r="Q122" s="50"/>
      <c r="R122" s="50"/>
      <c r="S122" s="51"/>
      <c r="T122" s="52"/>
      <c r="U122" s="53"/>
      <c r="V122" s="53"/>
      <c r="W122" s="54"/>
      <c r="X122" s="55"/>
      <c r="Y122" s="56"/>
      <c r="Z122" s="56"/>
    </row>
    <row r="123" ht="36" customHeight="1" spans="1:26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>
        <f t="shared" si="12"/>
        <v>0</v>
      </c>
      <c r="M123" s="33"/>
      <c r="N123" s="33">
        <f t="shared" si="13"/>
        <v>0</v>
      </c>
      <c r="O123" s="33"/>
      <c r="P123" s="33">
        <f t="shared" si="14"/>
        <v>0</v>
      </c>
      <c r="Q123" s="50"/>
      <c r="R123" s="50"/>
      <c r="S123" s="51"/>
      <c r="T123" s="52"/>
      <c r="U123" s="53"/>
      <c r="V123" s="53"/>
      <c r="W123" s="54"/>
      <c r="X123" s="55"/>
      <c r="Y123" s="56"/>
      <c r="Z123" s="56"/>
    </row>
    <row r="124" ht="36" customHeight="1" spans="1:26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>
        <f t="shared" si="12"/>
        <v>0</v>
      </c>
      <c r="M124" s="33"/>
      <c r="N124" s="33">
        <f t="shared" si="13"/>
        <v>0</v>
      </c>
      <c r="O124" s="33"/>
      <c r="P124" s="33">
        <f t="shared" si="14"/>
        <v>0</v>
      </c>
      <c r="Q124" s="50"/>
      <c r="R124" s="50"/>
      <c r="S124" s="51"/>
      <c r="T124" s="52"/>
      <c r="U124" s="53"/>
      <c r="V124" s="53"/>
      <c r="W124" s="54"/>
      <c r="X124" s="55"/>
      <c r="Y124" s="56"/>
      <c r="Z124" s="56"/>
    </row>
    <row r="125" ht="36" customHeight="1" spans="1:26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>
        <f t="shared" si="12"/>
        <v>0</v>
      </c>
      <c r="M125" s="33"/>
      <c r="N125" s="33">
        <f t="shared" si="13"/>
        <v>0</v>
      </c>
      <c r="O125" s="33"/>
      <c r="P125" s="33">
        <f t="shared" si="14"/>
        <v>0</v>
      </c>
      <c r="Q125" s="50"/>
      <c r="R125" s="50"/>
      <c r="S125" s="51"/>
      <c r="T125" s="52"/>
      <c r="U125" s="53"/>
      <c r="V125" s="53"/>
      <c r="W125" s="54"/>
      <c r="X125" s="55"/>
      <c r="Y125" s="56"/>
      <c r="Z125" s="56"/>
    </row>
    <row r="126" ht="36" customHeight="1" spans="1: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>
        <f t="shared" si="12"/>
        <v>0</v>
      </c>
      <c r="M126" s="33"/>
      <c r="N126" s="33">
        <f t="shared" si="13"/>
        <v>0</v>
      </c>
      <c r="O126" s="33"/>
      <c r="P126" s="33">
        <f t="shared" si="14"/>
        <v>0</v>
      </c>
      <c r="Q126" s="50"/>
      <c r="R126" s="50"/>
      <c r="S126" s="51"/>
      <c r="T126" s="52"/>
      <c r="U126" s="53"/>
      <c r="V126" s="53"/>
      <c r="W126" s="54"/>
      <c r="X126" s="55"/>
      <c r="Y126" s="56"/>
      <c r="Z126" s="56"/>
    </row>
    <row r="127" ht="36" customHeight="1" spans="1:26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>
        <f t="shared" si="12"/>
        <v>0</v>
      </c>
      <c r="M127" s="33"/>
      <c r="N127" s="33">
        <f t="shared" si="13"/>
        <v>0</v>
      </c>
      <c r="O127" s="33"/>
      <c r="P127" s="33">
        <f t="shared" si="14"/>
        <v>0</v>
      </c>
      <c r="Q127" s="50"/>
      <c r="R127" s="50"/>
      <c r="S127" s="51"/>
      <c r="T127" s="52"/>
      <c r="U127" s="53"/>
      <c r="V127" s="53"/>
      <c r="W127" s="54"/>
      <c r="X127" s="55"/>
      <c r="Y127" s="56"/>
      <c r="Z127" s="56"/>
    </row>
    <row r="128" ht="36" customHeight="1" spans="1:26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>
        <f t="shared" si="12"/>
        <v>0</v>
      </c>
      <c r="M128" s="33"/>
      <c r="N128" s="33">
        <f t="shared" si="13"/>
        <v>0</v>
      </c>
      <c r="O128" s="33"/>
      <c r="P128" s="33">
        <f t="shared" si="14"/>
        <v>0</v>
      </c>
      <c r="Q128" s="50"/>
      <c r="R128" s="50"/>
      <c r="S128" s="51"/>
      <c r="T128" s="52"/>
      <c r="U128" s="53"/>
      <c r="V128" s="53"/>
      <c r="W128" s="54"/>
      <c r="X128" s="55"/>
      <c r="Y128" s="56"/>
      <c r="Z128" s="56"/>
    </row>
    <row r="129" ht="36" customHeight="1" spans="1:26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>
        <f t="shared" si="12"/>
        <v>0</v>
      </c>
      <c r="M129" s="33"/>
      <c r="N129" s="33">
        <f t="shared" si="13"/>
        <v>0</v>
      </c>
      <c r="O129" s="33"/>
      <c r="P129" s="33">
        <f t="shared" si="14"/>
        <v>0</v>
      </c>
      <c r="Q129" s="50"/>
      <c r="R129" s="50"/>
      <c r="S129" s="51"/>
      <c r="T129" s="52"/>
      <c r="U129" s="53"/>
      <c r="V129" s="53"/>
      <c r="W129" s="54"/>
      <c r="X129" s="55"/>
      <c r="Y129" s="56"/>
      <c r="Z129" s="56"/>
    </row>
    <row r="130" ht="36" customHeight="1" spans="1:26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>
        <f t="shared" si="12"/>
        <v>0</v>
      </c>
      <c r="M130" s="33"/>
      <c r="N130" s="33">
        <f t="shared" si="13"/>
        <v>0</v>
      </c>
      <c r="O130" s="33"/>
      <c r="P130" s="33">
        <f t="shared" si="14"/>
        <v>0</v>
      </c>
      <c r="Q130" s="50"/>
      <c r="R130" s="50"/>
      <c r="S130" s="51"/>
      <c r="T130" s="52"/>
      <c r="U130" s="53"/>
      <c r="V130" s="53"/>
      <c r="W130" s="54"/>
      <c r="X130" s="55"/>
      <c r="Y130" s="56"/>
      <c r="Z130" s="56"/>
    </row>
    <row r="131" ht="36" customHeight="1" spans="1:26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>
        <f t="shared" ref="L131:L162" si="15">J131*K131</f>
        <v>0</v>
      </c>
      <c r="M131" s="33"/>
      <c r="N131" s="33">
        <f t="shared" ref="N131:N162" si="16">G131*H131*I131*K131/1000000</f>
        <v>0</v>
      </c>
      <c r="O131" s="33"/>
      <c r="P131" s="33">
        <f t="shared" ref="P131:P162" si="17">L131*O131</f>
        <v>0</v>
      </c>
      <c r="Q131" s="50"/>
      <c r="R131" s="50"/>
      <c r="S131" s="51"/>
      <c r="T131" s="52"/>
      <c r="U131" s="53"/>
      <c r="V131" s="53"/>
      <c r="W131" s="54"/>
      <c r="X131" s="55"/>
      <c r="Y131" s="56"/>
      <c r="Z131" s="56"/>
    </row>
    <row r="132" ht="36" customHeight="1" spans="1:26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>
        <f t="shared" si="15"/>
        <v>0</v>
      </c>
      <c r="M132" s="33"/>
      <c r="N132" s="33">
        <f t="shared" si="16"/>
        <v>0</v>
      </c>
      <c r="O132" s="33"/>
      <c r="P132" s="33">
        <f t="shared" si="17"/>
        <v>0</v>
      </c>
      <c r="Q132" s="50"/>
      <c r="R132" s="50"/>
      <c r="S132" s="51"/>
      <c r="T132" s="52"/>
      <c r="U132" s="53"/>
      <c r="V132" s="53"/>
      <c r="W132" s="54"/>
      <c r="X132" s="55"/>
      <c r="Y132" s="56"/>
      <c r="Z132" s="56"/>
    </row>
    <row r="133" ht="36" customHeight="1" spans="1:26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>
        <f t="shared" si="15"/>
        <v>0</v>
      </c>
      <c r="M133" s="33"/>
      <c r="N133" s="33">
        <f t="shared" si="16"/>
        <v>0</v>
      </c>
      <c r="O133" s="33"/>
      <c r="P133" s="33">
        <f t="shared" si="17"/>
        <v>0</v>
      </c>
      <c r="Q133" s="50"/>
      <c r="R133" s="50"/>
      <c r="S133" s="51"/>
      <c r="T133" s="52"/>
      <c r="U133" s="53"/>
      <c r="V133" s="53"/>
      <c r="W133" s="54"/>
      <c r="X133" s="55"/>
      <c r="Y133" s="56"/>
      <c r="Z133" s="56"/>
    </row>
    <row r="134" ht="36" customHeight="1" spans="1:26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>
        <f t="shared" si="15"/>
        <v>0</v>
      </c>
      <c r="M134" s="33"/>
      <c r="N134" s="33">
        <f t="shared" si="16"/>
        <v>0</v>
      </c>
      <c r="O134" s="33"/>
      <c r="P134" s="33">
        <f t="shared" si="17"/>
        <v>0</v>
      </c>
      <c r="Q134" s="50"/>
      <c r="R134" s="50"/>
      <c r="S134" s="51"/>
      <c r="T134" s="52"/>
      <c r="U134" s="53"/>
      <c r="V134" s="53"/>
      <c r="W134" s="54"/>
      <c r="X134" s="55"/>
      <c r="Y134" s="56"/>
      <c r="Z134" s="56"/>
    </row>
    <row r="135" ht="36" customHeight="1" spans="1:26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>
        <f t="shared" si="15"/>
        <v>0</v>
      </c>
      <c r="M135" s="33"/>
      <c r="N135" s="33">
        <f t="shared" si="16"/>
        <v>0</v>
      </c>
      <c r="O135" s="33"/>
      <c r="P135" s="33">
        <f t="shared" si="17"/>
        <v>0</v>
      </c>
      <c r="Q135" s="50"/>
      <c r="R135" s="50"/>
      <c r="S135" s="51"/>
      <c r="T135" s="52"/>
      <c r="U135" s="53"/>
      <c r="V135" s="53"/>
      <c r="W135" s="54"/>
      <c r="X135" s="55"/>
      <c r="Y135" s="56"/>
      <c r="Z135" s="56"/>
    </row>
    <row r="136" ht="36" customHeight="1" spans="1:2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>
        <f t="shared" si="15"/>
        <v>0</v>
      </c>
      <c r="M136" s="33"/>
      <c r="N136" s="33">
        <f t="shared" si="16"/>
        <v>0</v>
      </c>
      <c r="O136" s="33"/>
      <c r="P136" s="33">
        <f t="shared" si="17"/>
        <v>0</v>
      </c>
      <c r="Q136" s="50"/>
      <c r="R136" s="50"/>
      <c r="S136" s="51"/>
      <c r="T136" s="52"/>
      <c r="U136" s="53"/>
      <c r="V136" s="53"/>
      <c r="W136" s="54"/>
      <c r="X136" s="55"/>
      <c r="Y136" s="56"/>
      <c r="Z136" s="56"/>
    </row>
    <row r="137" ht="36" customHeight="1" spans="1:26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>
        <f t="shared" si="15"/>
        <v>0</v>
      </c>
      <c r="M137" s="33"/>
      <c r="N137" s="33">
        <f t="shared" si="16"/>
        <v>0</v>
      </c>
      <c r="O137" s="33"/>
      <c r="P137" s="33">
        <f t="shared" si="17"/>
        <v>0</v>
      </c>
      <c r="Q137" s="50"/>
      <c r="R137" s="50"/>
      <c r="S137" s="51"/>
      <c r="T137" s="52"/>
      <c r="U137" s="53"/>
      <c r="V137" s="53"/>
      <c r="W137" s="54"/>
      <c r="X137" s="55"/>
      <c r="Y137" s="56"/>
      <c r="Z137" s="56"/>
    </row>
    <row r="138" ht="36" customHeight="1" spans="1:26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>
        <f t="shared" si="15"/>
        <v>0</v>
      </c>
      <c r="M138" s="33"/>
      <c r="N138" s="33">
        <f t="shared" si="16"/>
        <v>0</v>
      </c>
      <c r="O138" s="33"/>
      <c r="P138" s="33">
        <f t="shared" si="17"/>
        <v>0</v>
      </c>
      <c r="Q138" s="50"/>
      <c r="R138" s="50"/>
      <c r="S138" s="51"/>
      <c r="T138" s="52"/>
      <c r="U138" s="53"/>
      <c r="V138" s="53"/>
      <c r="W138" s="54"/>
      <c r="X138" s="55"/>
      <c r="Y138" s="56"/>
      <c r="Z138" s="56"/>
    </row>
    <row r="139" ht="36" customHeight="1" spans="1:26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>
        <f t="shared" si="15"/>
        <v>0</v>
      </c>
      <c r="M139" s="33"/>
      <c r="N139" s="33">
        <f t="shared" si="16"/>
        <v>0</v>
      </c>
      <c r="O139" s="33"/>
      <c r="P139" s="33">
        <f t="shared" si="17"/>
        <v>0</v>
      </c>
      <c r="Q139" s="50"/>
      <c r="R139" s="50"/>
      <c r="S139" s="51"/>
      <c r="T139" s="52"/>
      <c r="U139" s="53"/>
      <c r="V139" s="53"/>
      <c r="W139" s="54"/>
      <c r="X139" s="55"/>
      <c r="Y139" s="56"/>
      <c r="Z139" s="56"/>
    </row>
    <row r="140" ht="36" customHeight="1" spans="1:26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>
        <f t="shared" si="15"/>
        <v>0</v>
      </c>
      <c r="M140" s="33"/>
      <c r="N140" s="33">
        <f t="shared" si="16"/>
        <v>0</v>
      </c>
      <c r="O140" s="33"/>
      <c r="P140" s="33">
        <f t="shared" si="17"/>
        <v>0</v>
      </c>
      <c r="Q140" s="50"/>
      <c r="R140" s="50"/>
      <c r="S140" s="51"/>
      <c r="T140" s="52"/>
      <c r="U140" s="53"/>
      <c r="V140" s="53"/>
      <c r="W140" s="54"/>
      <c r="X140" s="55"/>
      <c r="Y140" s="56"/>
      <c r="Z140" s="56"/>
    </row>
    <row r="141" ht="36" customHeight="1" spans="1:26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>
        <f t="shared" si="15"/>
        <v>0</v>
      </c>
      <c r="M141" s="33"/>
      <c r="N141" s="33">
        <f t="shared" si="16"/>
        <v>0</v>
      </c>
      <c r="O141" s="33"/>
      <c r="P141" s="33">
        <f t="shared" si="17"/>
        <v>0</v>
      </c>
      <c r="Q141" s="50"/>
      <c r="R141" s="50"/>
      <c r="S141" s="51"/>
      <c r="T141" s="52"/>
      <c r="U141" s="53"/>
      <c r="V141" s="53"/>
      <c r="W141" s="54"/>
      <c r="X141" s="55"/>
      <c r="Y141" s="56"/>
      <c r="Z141" s="56"/>
    </row>
    <row r="142" ht="36" customHeight="1" spans="1:26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>
        <f t="shared" si="15"/>
        <v>0</v>
      </c>
      <c r="M142" s="33"/>
      <c r="N142" s="33">
        <f t="shared" si="16"/>
        <v>0</v>
      </c>
      <c r="O142" s="33"/>
      <c r="P142" s="33">
        <f t="shared" si="17"/>
        <v>0</v>
      </c>
      <c r="Q142" s="50"/>
      <c r="R142" s="50"/>
      <c r="S142" s="51"/>
      <c r="T142" s="52"/>
      <c r="U142" s="53"/>
      <c r="V142" s="53"/>
      <c r="W142" s="54"/>
      <c r="X142" s="55"/>
      <c r="Y142" s="56"/>
      <c r="Z142" s="56"/>
    </row>
    <row r="143" ht="36" customHeight="1" spans="1:26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>
        <f t="shared" si="15"/>
        <v>0</v>
      </c>
      <c r="M143" s="33"/>
      <c r="N143" s="33">
        <f t="shared" si="16"/>
        <v>0</v>
      </c>
      <c r="O143" s="33"/>
      <c r="P143" s="33">
        <f t="shared" si="17"/>
        <v>0</v>
      </c>
      <c r="Q143" s="50"/>
      <c r="R143" s="50"/>
      <c r="S143" s="51"/>
      <c r="T143" s="52"/>
      <c r="U143" s="53"/>
      <c r="V143" s="53"/>
      <c r="W143" s="54"/>
      <c r="X143" s="55"/>
      <c r="Y143" s="56"/>
      <c r="Z143" s="56"/>
    </row>
    <row r="144" ht="36" customHeight="1" spans="1:26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>
        <f t="shared" si="15"/>
        <v>0</v>
      </c>
      <c r="M144" s="33"/>
      <c r="N144" s="33">
        <f t="shared" si="16"/>
        <v>0</v>
      </c>
      <c r="O144" s="33"/>
      <c r="P144" s="33">
        <f t="shared" si="17"/>
        <v>0</v>
      </c>
      <c r="Q144" s="50"/>
      <c r="R144" s="50"/>
      <c r="S144" s="51"/>
      <c r="T144" s="52"/>
      <c r="U144" s="53"/>
      <c r="V144" s="53"/>
      <c r="W144" s="54"/>
      <c r="X144" s="55"/>
      <c r="Y144" s="56"/>
      <c r="Z144" s="56"/>
    </row>
    <row r="145" ht="36" customHeight="1" spans="1:26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>
        <f t="shared" si="15"/>
        <v>0</v>
      </c>
      <c r="M145" s="33"/>
      <c r="N145" s="33">
        <f t="shared" si="16"/>
        <v>0</v>
      </c>
      <c r="O145" s="33"/>
      <c r="P145" s="33">
        <f t="shared" si="17"/>
        <v>0</v>
      </c>
      <c r="Q145" s="50"/>
      <c r="R145" s="50"/>
      <c r="S145" s="51"/>
      <c r="T145" s="52"/>
      <c r="U145" s="53"/>
      <c r="V145" s="53"/>
      <c r="W145" s="54"/>
      <c r="X145" s="55"/>
      <c r="Y145" s="56"/>
      <c r="Z145" s="56"/>
    </row>
    <row r="146" ht="36" customHeight="1" spans="1:2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>
        <f t="shared" si="15"/>
        <v>0</v>
      </c>
      <c r="M146" s="33"/>
      <c r="N146" s="33">
        <f t="shared" si="16"/>
        <v>0</v>
      </c>
      <c r="O146" s="33"/>
      <c r="P146" s="33">
        <f t="shared" si="17"/>
        <v>0</v>
      </c>
      <c r="Q146" s="50"/>
      <c r="R146" s="50"/>
      <c r="S146" s="51"/>
      <c r="T146" s="52"/>
      <c r="U146" s="53"/>
      <c r="V146" s="53"/>
      <c r="W146" s="54"/>
      <c r="X146" s="55"/>
      <c r="Y146" s="56"/>
      <c r="Z146" s="56"/>
    </row>
    <row r="147" ht="36" customHeight="1" spans="1:26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>
        <f t="shared" si="15"/>
        <v>0</v>
      </c>
      <c r="M147" s="33"/>
      <c r="N147" s="33">
        <f t="shared" si="16"/>
        <v>0</v>
      </c>
      <c r="O147" s="33"/>
      <c r="P147" s="33">
        <f t="shared" si="17"/>
        <v>0</v>
      </c>
      <c r="Q147" s="50"/>
      <c r="R147" s="50"/>
      <c r="S147" s="51"/>
      <c r="T147" s="52"/>
      <c r="U147" s="53"/>
      <c r="V147" s="53"/>
      <c r="W147" s="54"/>
      <c r="X147" s="55"/>
      <c r="Y147" s="56"/>
      <c r="Z147" s="56"/>
    </row>
    <row r="148" ht="36" customHeight="1" spans="1:26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>
        <f t="shared" si="15"/>
        <v>0</v>
      </c>
      <c r="M148" s="33"/>
      <c r="N148" s="33">
        <f t="shared" si="16"/>
        <v>0</v>
      </c>
      <c r="O148" s="33"/>
      <c r="P148" s="33">
        <f t="shared" si="17"/>
        <v>0</v>
      </c>
      <c r="Q148" s="50"/>
      <c r="R148" s="50"/>
      <c r="S148" s="51"/>
      <c r="T148" s="52"/>
      <c r="U148" s="53"/>
      <c r="V148" s="53"/>
      <c r="W148" s="54"/>
      <c r="X148" s="55"/>
      <c r="Y148" s="56"/>
      <c r="Z148" s="56"/>
    </row>
    <row r="149" ht="36" customHeight="1" spans="1:26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>
        <f t="shared" si="15"/>
        <v>0</v>
      </c>
      <c r="M149" s="33"/>
      <c r="N149" s="33">
        <f t="shared" si="16"/>
        <v>0</v>
      </c>
      <c r="O149" s="33"/>
      <c r="P149" s="33">
        <f t="shared" si="17"/>
        <v>0</v>
      </c>
      <c r="Q149" s="50"/>
      <c r="R149" s="50"/>
      <c r="S149" s="51"/>
      <c r="T149" s="52"/>
      <c r="U149" s="53"/>
      <c r="V149" s="53"/>
      <c r="W149" s="54"/>
      <c r="X149" s="55"/>
      <c r="Y149" s="56"/>
      <c r="Z149" s="56"/>
    </row>
    <row r="150" ht="36" customHeight="1" spans="1:26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>
        <f t="shared" si="15"/>
        <v>0</v>
      </c>
      <c r="M150" s="33"/>
      <c r="N150" s="33">
        <f t="shared" si="16"/>
        <v>0</v>
      </c>
      <c r="O150" s="33"/>
      <c r="P150" s="33">
        <f t="shared" si="17"/>
        <v>0</v>
      </c>
      <c r="Q150" s="50"/>
      <c r="R150" s="50"/>
      <c r="S150" s="51"/>
      <c r="T150" s="52"/>
      <c r="U150" s="53"/>
      <c r="V150" s="53"/>
      <c r="W150" s="54"/>
      <c r="X150" s="55"/>
      <c r="Y150" s="56"/>
      <c r="Z150" s="56"/>
    </row>
    <row r="151" ht="36" customHeight="1" spans="1:26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>
        <f t="shared" si="15"/>
        <v>0</v>
      </c>
      <c r="M151" s="33"/>
      <c r="N151" s="33">
        <f t="shared" si="16"/>
        <v>0</v>
      </c>
      <c r="O151" s="33"/>
      <c r="P151" s="33">
        <f t="shared" si="17"/>
        <v>0</v>
      </c>
      <c r="Q151" s="50"/>
      <c r="R151" s="50"/>
      <c r="S151" s="51"/>
      <c r="T151" s="52"/>
      <c r="U151" s="53"/>
      <c r="V151" s="53"/>
      <c r="W151" s="54"/>
      <c r="X151" s="55"/>
      <c r="Y151" s="56"/>
      <c r="Z151" s="56"/>
    </row>
    <row r="152" ht="36" customHeight="1" spans="1:26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>
        <f t="shared" si="15"/>
        <v>0</v>
      </c>
      <c r="M152" s="33"/>
      <c r="N152" s="33">
        <f t="shared" si="16"/>
        <v>0</v>
      </c>
      <c r="O152" s="33"/>
      <c r="P152" s="33">
        <f t="shared" si="17"/>
        <v>0</v>
      </c>
      <c r="Q152" s="50"/>
      <c r="R152" s="50"/>
      <c r="S152" s="51"/>
      <c r="T152" s="52"/>
      <c r="U152" s="53"/>
      <c r="V152" s="53"/>
      <c r="W152" s="54"/>
      <c r="X152" s="55"/>
      <c r="Y152" s="56"/>
      <c r="Z152" s="56"/>
    </row>
    <row r="153" ht="36" customHeight="1" spans="1:26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>
        <f t="shared" si="15"/>
        <v>0</v>
      </c>
      <c r="M153" s="33"/>
      <c r="N153" s="33">
        <f t="shared" si="16"/>
        <v>0</v>
      </c>
      <c r="O153" s="33"/>
      <c r="P153" s="33">
        <f t="shared" si="17"/>
        <v>0</v>
      </c>
      <c r="Q153" s="50"/>
      <c r="R153" s="50"/>
      <c r="S153" s="51"/>
      <c r="T153" s="52"/>
      <c r="U153" s="53"/>
      <c r="V153" s="53"/>
      <c r="W153" s="54"/>
      <c r="X153" s="55"/>
      <c r="Y153" s="56"/>
      <c r="Z153" s="56"/>
    </row>
    <row r="154" ht="36" customHeight="1" spans="1:26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>
        <f t="shared" si="15"/>
        <v>0</v>
      </c>
      <c r="M154" s="33"/>
      <c r="N154" s="33">
        <f t="shared" si="16"/>
        <v>0</v>
      </c>
      <c r="O154" s="33"/>
      <c r="P154" s="33">
        <f t="shared" si="17"/>
        <v>0</v>
      </c>
      <c r="Q154" s="50"/>
      <c r="R154" s="50"/>
      <c r="S154" s="51"/>
      <c r="T154" s="52"/>
      <c r="U154" s="53"/>
      <c r="V154" s="53"/>
      <c r="W154" s="54"/>
      <c r="X154" s="55"/>
      <c r="Y154" s="56"/>
      <c r="Z154" s="56"/>
    </row>
    <row r="155" ht="36" customHeight="1" spans="1:26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>
        <f t="shared" si="15"/>
        <v>0</v>
      </c>
      <c r="M155" s="33"/>
      <c r="N155" s="33">
        <f t="shared" si="16"/>
        <v>0</v>
      </c>
      <c r="O155" s="33"/>
      <c r="P155" s="33">
        <f t="shared" si="17"/>
        <v>0</v>
      </c>
      <c r="Q155" s="50"/>
      <c r="R155" s="50"/>
      <c r="S155" s="51"/>
      <c r="T155" s="52"/>
      <c r="U155" s="53"/>
      <c r="V155" s="53"/>
      <c r="W155" s="54"/>
      <c r="X155" s="55"/>
      <c r="Y155" s="56"/>
      <c r="Z155" s="56"/>
    </row>
    <row r="156" ht="36" customHeight="1" spans="1:2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>
        <f t="shared" si="15"/>
        <v>0</v>
      </c>
      <c r="M156" s="33"/>
      <c r="N156" s="33">
        <f t="shared" si="16"/>
        <v>0</v>
      </c>
      <c r="O156" s="33"/>
      <c r="P156" s="33">
        <f t="shared" si="17"/>
        <v>0</v>
      </c>
      <c r="Q156" s="50"/>
      <c r="R156" s="50"/>
      <c r="S156" s="51"/>
      <c r="T156" s="52"/>
      <c r="U156" s="53"/>
      <c r="V156" s="53"/>
      <c r="W156" s="54"/>
      <c r="X156" s="55"/>
      <c r="Y156" s="56"/>
      <c r="Z156" s="56"/>
    </row>
    <row r="157" ht="36" customHeight="1" spans="1:26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>
        <f t="shared" si="15"/>
        <v>0</v>
      </c>
      <c r="M157" s="33"/>
      <c r="N157" s="33">
        <f t="shared" si="16"/>
        <v>0</v>
      </c>
      <c r="O157" s="33"/>
      <c r="P157" s="33">
        <f t="shared" si="17"/>
        <v>0</v>
      </c>
      <c r="Q157" s="50"/>
      <c r="R157" s="50"/>
      <c r="S157" s="51"/>
      <c r="T157" s="52"/>
      <c r="U157" s="53"/>
      <c r="V157" s="53"/>
      <c r="W157" s="54"/>
      <c r="X157" s="55"/>
      <c r="Y157" s="56"/>
      <c r="Z157" s="56"/>
    </row>
    <row r="158" ht="36" customHeight="1" spans="1:26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>
        <f t="shared" si="15"/>
        <v>0</v>
      </c>
      <c r="M158" s="33"/>
      <c r="N158" s="33">
        <f t="shared" si="16"/>
        <v>0</v>
      </c>
      <c r="O158" s="33"/>
      <c r="P158" s="33">
        <f t="shared" si="17"/>
        <v>0</v>
      </c>
      <c r="Q158" s="50"/>
      <c r="R158" s="50"/>
      <c r="S158" s="51"/>
      <c r="T158" s="52"/>
      <c r="U158" s="53"/>
      <c r="V158" s="53"/>
      <c r="W158" s="54"/>
      <c r="X158" s="55"/>
      <c r="Y158" s="56"/>
      <c r="Z158" s="56"/>
    </row>
    <row r="159" ht="36" customHeight="1" spans="1:26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>
        <f t="shared" si="15"/>
        <v>0</v>
      </c>
      <c r="M159" s="33"/>
      <c r="N159" s="33">
        <f t="shared" si="16"/>
        <v>0</v>
      </c>
      <c r="O159" s="33"/>
      <c r="P159" s="33">
        <f t="shared" si="17"/>
        <v>0</v>
      </c>
      <c r="Q159" s="50"/>
      <c r="R159" s="50"/>
      <c r="S159" s="51"/>
      <c r="T159" s="52"/>
      <c r="U159" s="53"/>
      <c r="V159" s="53"/>
      <c r="W159" s="54"/>
      <c r="X159" s="55"/>
      <c r="Y159" s="56"/>
      <c r="Z159" s="56"/>
    </row>
    <row r="160" ht="36" customHeight="1" spans="1:26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>
        <f t="shared" si="15"/>
        <v>0</v>
      </c>
      <c r="M160" s="33"/>
      <c r="N160" s="33">
        <f t="shared" si="16"/>
        <v>0</v>
      </c>
      <c r="O160" s="33"/>
      <c r="P160" s="33">
        <f t="shared" si="17"/>
        <v>0</v>
      </c>
      <c r="Q160" s="50"/>
      <c r="R160" s="50"/>
      <c r="S160" s="51"/>
      <c r="T160" s="52"/>
      <c r="U160" s="53"/>
      <c r="V160" s="53"/>
      <c r="W160" s="54"/>
      <c r="X160" s="55"/>
      <c r="Y160" s="56"/>
      <c r="Z160" s="56"/>
    </row>
    <row r="161" ht="36" customHeight="1" spans="1:26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>
        <f t="shared" si="15"/>
        <v>0</v>
      </c>
      <c r="M161" s="33"/>
      <c r="N161" s="33">
        <f t="shared" si="16"/>
        <v>0</v>
      </c>
      <c r="O161" s="33"/>
      <c r="P161" s="33">
        <f t="shared" si="17"/>
        <v>0</v>
      </c>
      <c r="Q161" s="50"/>
      <c r="R161" s="50"/>
      <c r="S161" s="51"/>
      <c r="T161" s="52"/>
      <c r="U161" s="53"/>
      <c r="V161" s="53"/>
      <c r="W161" s="54"/>
      <c r="X161" s="55"/>
      <c r="Y161" s="56"/>
      <c r="Z161" s="56"/>
    </row>
    <row r="162" ht="36" customHeight="1" spans="1:26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>
        <f t="shared" si="15"/>
        <v>0</v>
      </c>
      <c r="M162" s="33"/>
      <c r="N162" s="33">
        <f t="shared" si="16"/>
        <v>0</v>
      </c>
      <c r="O162" s="33"/>
      <c r="P162" s="33">
        <f t="shared" si="17"/>
        <v>0</v>
      </c>
      <c r="Q162" s="50"/>
      <c r="R162" s="50"/>
      <c r="S162" s="51"/>
      <c r="T162" s="52"/>
      <c r="U162" s="53"/>
      <c r="V162" s="53"/>
      <c r="W162" s="54"/>
      <c r="X162" s="55"/>
      <c r="Y162" s="56"/>
      <c r="Z162" s="56"/>
    </row>
    <row r="163" ht="36" customHeight="1" spans="1:26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>
        <f t="shared" ref="L163:L178" si="18">J163*K163</f>
        <v>0</v>
      </c>
      <c r="M163" s="33"/>
      <c r="N163" s="33">
        <f t="shared" ref="N163:N178" si="19">G163*H163*I163*K163/1000000</f>
        <v>0</v>
      </c>
      <c r="O163" s="33"/>
      <c r="P163" s="33">
        <f t="shared" ref="P163:P178" si="20">L163*O163</f>
        <v>0</v>
      </c>
      <c r="Q163" s="50"/>
      <c r="R163" s="50"/>
      <c r="S163" s="51"/>
      <c r="T163" s="52"/>
      <c r="U163" s="53"/>
      <c r="V163" s="53"/>
      <c r="W163" s="54"/>
      <c r="X163" s="55"/>
      <c r="Y163" s="56"/>
      <c r="Z163" s="56"/>
    </row>
    <row r="164" ht="36" customHeight="1" spans="1:26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>
        <f t="shared" si="18"/>
        <v>0</v>
      </c>
      <c r="M164" s="33"/>
      <c r="N164" s="33">
        <f t="shared" si="19"/>
        <v>0</v>
      </c>
      <c r="O164" s="33"/>
      <c r="P164" s="33">
        <f t="shared" si="20"/>
        <v>0</v>
      </c>
      <c r="Q164" s="50"/>
      <c r="R164" s="50"/>
      <c r="S164" s="51"/>
      <c r="T164" s="52"/>
      <c r="U164" s="53"/>
      <c r="V164" s="53"/>
      <c r="W164" s="54"/>
      <c r="X164" s="55"/>
      <c r="Y164" s="56"/>
      <c r="Z164" s="56"/>
    </row>
    <row r="165" ht="36" customHeight="1" spans="1:26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>
        <f t="shared" si="18"/>
        <v>0</v>
      </c>
      <c r="M165" s="33"/>
      <c r="N165" s="33">
        <f t="shared" si="19"/>
        <v>0</v>
      </c>
      <c r="O165" s="33"/>
      <c r="P165" s="33">
        <f t="shared" si="20"/>
        <v>0</v>
      </c>
      <c r="Q165" s="50"/>
      <c r="R165" s="50"/>
      <c r="S165" s="51"/>
      <c r="T165" s="52"/>
      <c r="U165" s="53"/>
      <c r="V165" s="53"/>
      <c r="W165" s="54"/>
      <c r="X165" s="55"/>
      <c r="Y165" s="56"/>
      <c r="Z165" s="56"/>
    </row>
    <row r="166" ht="36" customHeight="1" spans="1:2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>
        <f t="shared" si="18"/>
        <v>0</v>
      </c>
      <c r="M166" s="33"/>
      <c r="N166" s="33">
        <f t="shared" si="19"/>
        <v>0</v>
      </c>
      <c r="O166" s="33"/>
      <c r="P166" s="33">
        <f t="shared" si="20"/>
        <v>0</v>
      </c>
      <c r="Q166" s="50"/>
      <c r="R166" s="50"/>
      <c r="S166" s="51"/>
      <c r="T166" s="52"/>
      <c r="U166" s="53"/>
      <c r="V166" s="53"/>
      <c r="W166" s="54"/>
      <c r="X166" s="55"/>
      <c r="Y166" s="56"/>
      <c r="Z166" s="56"/>
    </row>
    <row r="167" ht="36" customHeight="1" spans="1:26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>
        <f t="shared" si="18"/>
        <v>0</v>
      </c>
      <c r="M167" s="33"/>
      <c r="N167" s="33">
        <f t="shared" si="19"/>
        <v>0</v>
      </c>
      <c r="O167" s="33"/>
      <c r="P167" s="33">
        <f t="shared" si="20"/>
        <v>0</v>
      </c>
      <c r="Q167" s="50"/>
      <c r="R167" s="50"/>
      <c r="S167" s="51"/>
      <c r="T167" s="52"/>
      <c r="U167" s="53"/>
      <c r="V167" s="53"/>
      <c r="W167" s="54"/>
      <c r="X167" s="55"/>
      <c r="Y167" s="56"/>
      <c r="Z167" s="56"/>
    </row>
    <row r="168" ht="36" customHeight="1" spans="1:26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>
        <f t="shared" si="18"/>
        <v>0</v>
      </c>
      <c r="M168" s="33"/>
      <c r="N168" s="33">
        <f t="shared" si="19"/>
        <v>0</v>
      </c>
      <c r="O168" s="33"/>
      <c r="P168" s="33">
        <f t="shared" si="20"/>
        <v>0</v>
      </c>
      <c r="Q168" s="50"/>
      <c r="R168" s="50"/>
      <c r="S168" s="51"/>
      <c r="T168" s="52"/>
      <c r="U168" s="53"/>
      <c r="V168" s="53"/>
      <c r="W168" s="54"/>
      <c r="X168" s="55"/>
      <c r="Y168" s="56"/>
      <c r="Z168" s="56"/>
    </row>
    <row r="169" ht="36" customHeight="1" spans="1:26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>
        <f t="shared" si="18"/>
        <v>0</v>
      </c>
      <c r="M169" s="33"/>
      <c r="N169" s="33">
        <f t="shared" si="19"/>
        <v>0</v>
      </c>
      <c r="O169" s="33"/>
      <c r="P169" s="33">
        <f t="shared" si="20"/>
        <v>0</v>
      </c>
      <c r="Q169" s="50"/>
      <c r="R169" s="50"/>
      <c r="S169" s="51"/>
      <c r="T169" s="52"/>
      <c r="U169" s="53"/>
      <c r="V169" s="53"/>
      <c r="W169" s="54"/>
      <c r="X169" s="55"/>
      <c r="Y169" s="56"/>
      <c r="Z169" s="56"/>
    </row>
    <row r="170" ht="36" customHeight="1" spans="1:26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>
        <f t="shared" si="18"/>
        <v>0</v>
      </c>
      <c r="M170" s="33"/>
      <c r="N170" s="33">
        <f t="shared" si="19"/>
        <v>0</v>
      </c>
      <c r="O170" s="33"/>
      <c r="P170" s="33">
        <f t="shared" si="20"/>
        <v>0</v>
      </c>
      <c r="Q170" s="50"/>
      <c r="R170" s="50"/>
      <c r="S170" s="51"/>
      <c r="T170" s="52"/>
      <c r="U170" s="53"/>
      <c r="V170" s="53"/>
      <c r="W170" s="54"/>
      <c r="X170" s="55"/>
      <c r="Y170" s="56"/>
      <c r="Z170" s="56"/>
    </row>
    <row r="171" ht="36" customHeight="1" spans="1:26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>
        <f t="shared" si="18"/>
        <v>0</v>
      </c>
      <c r="M171" s="33"/>
      <c r="N171" s="33">
        <f t="shared" si="19"/>
        <v>0</v>
      </c>
      <c r="O171" s="33"/>
      <c r="P171" s="33">
        <f t="shared" si="20"/>
        <v>0</v>
      </c>
      <c r="Q171" s="50"/>
      <c r="R171" s="50"/>
      <c r="S171" s="51"/>
      <c r="T171" s="52"/>
      <c r="U171" s="53"/>
      <c r="V171" s="53"/>
      <c r="W171" s="54"/>
      <c r="X171" s="55"/>
      <c r="Y171" s="56"/>
      <c r="Z171" s="56"/>
    </row>
    <row r="172" ht="36" customHeight="1" spans="1:26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>
        <f t="shared" si="18"/>
        <v>0</v>
      </c>
      <c r="M172" s="33"/>
      <c r="N172" s="33">
        <f t="shared" si="19"/>
        <v>0</v>
      </c>
      <c r="O172" s="33"/>
      <c r="P172" s="33">
        <f t="shared" si="20"/>
        <v>0</v>
      </c>
      <c r="Q172" s="50"/>
      <c r="R172" s="50"/>
      <c r="S172" s="51"/>
      <c r="T172" s="52"/>
      <c r="U172" s="53"/>
      <c r="V172" s="53"/>
      <c r="W172" s="54"/>
      <c r="X172" s="55"/>
      <c r="Y172" s="56"/>
      <c r="Z172" s="56"/>
    </row>
    <row r="173" ht="36" customHeight="1" spans="1:26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>
        <f t="shared" si="18"/>
        <v>0</v>
      </c>
      <c r="M173" s="33"/>
      <c r="N173" s="33">
        <f t="shared" si="19"/>
        <v>0</v>
      </c>
      <c r="O173" s="33"/>
      <c r="P173" s="33">
        <f t="shared" si="20"/>
        <v>0</v>
      </c>
      <c r="Q173" s="50"/>
      <c r="R173" s="50"/>
      <c r="S173" s="51"/>
      <c r="T173" s="52"/>
      <c r="U173" s="53"/>
      <c r="V173" s="53"/>
      <c r="W173" s="54"/>
      <c r="X173" s="55"/>
      <c r="Y173" s="56"/>
      <c r="Z173" s="56"/>
    </row>
    <row r="174" ht="36" customHeight="1" spans="1:26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>
        <f t="shared" si="18"/>
        <v>0</v>
      </c>
      <c r="M174" s="33"/>
      <c r="N174" s="33">
        <f t="shared" si="19"/>
        <v>0</v>
      </c>
      <c r="O174" s="33"/>
      <c r="P174" s="33">
        <f t="shared" si="20"/>
        <v>0</v>
      </c>
      <c r="Q174" s="50"/>
      <c r="R174" s="50"/>
      <c r="S174" s="51"/>
      <c r="T174" s="52"/>
      <c r="U174" s="53"/>
      <c r="V174" s="53"/>
      <c r="W174" s="54"/>
      <c r="X174" s="55"/>
      <c r="Y174" s="56"/>
      <c r="Z174" s="56"/>
    </row>
    <row r="175" ht="36" customHeight="1" spans="1:26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>
        <f t="shared" si="18"/>
        <v>0</v>
      </c>
      <c r="M175" s="33"/>
      <c r="N175" s="33">
        <f t="shared" si="19"/>
        <v>0</v>
      </c>
      <c r="O175" s="33"/>
      <c r="P175" s="33">
        <f t="shared" si="20"/>
        <v>0</v>
      </c>
      <c r="Q175" s="50"/>
      <c r="R175" s="50"/>
      <c r="S175" s="51"/>
      <c r="T175" s="52"/>
      <c r="U175" s="53"/>
      <c r="V175" s="53"/>
      <c r="W175" s="54"/>
      <c r="X175" s="55"/>
      <c r="Y175" s="56"/>
      <c r="Z175" s="56"/>
    </row>
    <row r="176" ht="36" customHeight="1" spans="1:2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>
        <f t="shared" si="18"/>
        <v>0</v>
      </c>
      <c r="M176" s="33"/>
      <c r="N176" s="33">
        <f t="shared" si="19"/>
        <v>0</v>
      </c>
      <c r="O176" s="33"/>
      <c r="P176" s="33">
        <f t="shared" si="20"/>
        <v>0</v>
      </c>
      <c r="Q176" s="50"/>
      <c r="R176" s="50"/>
      <c r="S176" s="51"/>
      <c r="T176" s="52"/>
      <c r="U176" s="53"/>
      <c r="V176" s="53"/>
      <c r="W176" s="54"/>
      <c r="X176" s="55"/>
      <c r="Y176" s="56"/>
      <c r="Z176" s="56"/>
    </row>
    <row r="177" ht="36" customHeight="1" spans="1:26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>
        <f t="shared" si="18"/>
        <v>0</v>
      </c>
      <c r="M177" s="33"/>
      <c r="N177" s="33">
        <f t="shared" si="19"/>
        <v>0</v>
      </c>
      <c r="O177" s="33"/>
      <c r="P177" s="33">
        <f t="shared" si="20"/>
        <v>0</v>
      </c>
      <c r="Q177" s="50"/>
      <c r="R177" s="50"/>
      <c r="S177" s="51"/>
      <c r="T177" s="52"/>
      <c r="U177" s="53"/>
      <c r="V177" s="53"/>
      <c r="W177" s="54"/>
      <c r="X177" s="55"/>
      <c r="Y177" s="56"/>
      <c r="Z177" s="56"/>
    </row>
    <row r="178" ht="36" customHeight="1" spans="1:26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>
        <f t="shared" si="18"/>
        <v>0</v>
      </c>
      <c r="M178" s="33"/>
      <c r="N178" s="33">
        <f t="shared" si="19"/>
        <v>0</v>
      </c>
      <c r="O178" s="33"/>
      <c r="P178" s="33">
        <f t="shared" si="20"/>
        <v>0</v>
      </c>
      <c r="Q178" s="50"/>
      <c r="R178" s="50"/>
      <c r="S178" s="51"/>
      <c r="T178" s="52"/>
      <c r="U178" s="53"/>
      <c r="V178" s="53"/>
      <c r="W178" s="54"/>
      <c r="X178" s="55"/>
      <c r="Y178" s="56"/>
      <c r="Z178" s="56"/>
    </row>
    <row r="179" s="11" customFormat="1" ht="29" customHeight="1" spans="1:26">
      <c r="A179" s="58" t="s">
        <v>67</v>
      </c>
      <c r="B179" s="58"/>
      <c r="C179" s="58"/>
      <c r="D179" s="58"/>
      <c r="E179" s="58"/>
      <c r="F179" s="58"/>
      <c r="G179" s="58"/>
      <c r="H179" s="58"/>
      <c r="I179" s="58"/>
      <c r="J179" s="58"/>
      <c r="K179" s="58">
        <f>SUM(K12:K178)</f>
        <v>0</v>
      </c>
      <c r="L179" s="58"/>
      <c r="M179" s="58">
        <f>SUM(M12:M178)</f>
        <v>0</v>
      </c>
      <c r="N179" s="58">
        <f>SUM(N12:N178)</f>
        <v>0</v>
      </c>
      <c r="O179" s="58"/>
      <c r="P179" s="58">
        <f>SUM(P12:P178)</f>
        <v>0</v>
      </c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</sheetData>
  <sheetProtection selectLockedCells="1" formatCells="0" formatColumns="0" formatRows="0" insertRows="0" insertColumns="0" insertHyperlinks="0" deleteColumns="0" deleteRows="0" sort="0" autoFilter="0" pivotTables="0"/>
  <protectedRanges>
    <protectedRange sqref="E11" name="区域1"/>
  </protectedRanges>
  <mergeCells count="66">
    <mergeCell ref="A1:Z1"/>
    <mergeCell ref="A2:Z2"/>
    <mergeCell ref="A3:B3"/>
    <mergeCell ref="C3:F3"/>
    <mergeCell ref="G3:J3"/>
    <mergeCell ref="K3:L3"/>
    <mergeCell ref="M3:N3"/>
    <mergeCell ref="O3:S3"/>
    <mergeCell ref="T3:U3"/>
    <mergeCell ref="V3:Z3"/>
    <mergeCell ref="A4:B4"/>
    <mergeCell ref="C4:F4"/>
    <mergeCell ref="G4:H4"/>
    <mergeCell ref="I4:L4"/>
    <mergeCell ref="M4:N4"/>
    <mergeCell ref="O4:P4"/>
    <mergeCell ref="R4:S4"/>
    <mergeCell ref="T4:U4"/>
    <mergeCell ref="V4:Z4"/>
    <mergeCell ref="A5:B5"/>
    <mergeCell ref="C5:F5"/>
    <mergeCell ref="G5:H5"/>
    <mergeCell ref="I5:L5"/>
    <mergeCell ref="M5:N5"/>
    <mergeCell ref="O5:P5"/>
    <mergeCell ref="R5:S5"/>
    <mergeCell ref="T5:U5"/>
    <mergeCell ref="V5:Z5"/>
    <mergeCell ref="A6:B6"/>
    <mergeCell ref="C6:F6"/>
    <mergeCell ref="G6:H6"/>
    <mergeCell ref="I6:L6"/>
    <mergeCell ref="M6:N6"/>
    <mergeCell ref="O6:S6"/>
    <mergeCell ref="T6:U6"/>
    <mergeCell ref="V6:Z6"/>
    <mergeCell ref="A7:B7"/>
    <mergeCell ref="C7:D7"/>
    <mergeCell ref="E7:L7"/>
    <mergeCell ref="M7:N7"/>
    <mergeCell ref="O7:S7"/>
    <mergeCell ref="T7:U7"/>
    <mergeCell ref="V7:Z7"/>
    <mergeCell ref="A8:B8"/>
    <mergeCell ref="C8:D8"/>
    <mergeCell ref="E8:F8"/>
    <mergeCell ref="G8:L8"/>
    <mergeCell ref="M8:N8"/>
    <mergeCell ref="O8:S8"/>
    <mergeCell ref="T8:U8"/>
    <mergeCell ref="V8:Z8"/>
    <mergeCell ref="A9:B9"/>
    <mergeCell ref="C9:D9"/>
    <mergeCell ref="E9:F9"/>
    <mergeCell ref="G9:L9"/>
    <mergeCell ref="M9:N9"/>
    <mergeCell ref="O9:S9"/>
    <mergeCell ref="A10:B10"/>
    <mergeCell ref="C10:D10"/>
    <mergeCell ref="E10:F10"/>
    <mergeCell ref="G10:L10"/>
    <mergeCell ref="M10:N10"/>
    <mergeCell ref="O10:P10"/>
    <mergeCell ref="R10:S10"/>
    <mergeCell ref="G11:I11"/>
    <mergeCell ref="T9:Z10"/>
  </mergeCells>
  <dataValidations count="12">
    <dataValidation type="list" allowBlank="1" showInputMessage="1" showErrorMessage="1" sqref="K3:L3">
      <formula1>"是/YES,否/NO"</formula1>
    </dataValidation>
    <dataValidation type="list" allowBlank="1" showInputMessage="1" showErrorMessage="1" sqref="C4:F4">
      <formula1>'渠道分解&amp;Fba编码'!$E$2:$E$999</formula1>
    </dataValidation>
    <dataValidation type="list" allowBlank="1" showInputMessage="1" showErrorMessage="1" sqref="O4:P4">
      <formula1>'渠道分解&amp;Fba编码'!$H$2:$H$999</formula1>
    </dataValidation>
    <dataValidation type="list" allowBlank="1" showInputMessage="1" showErrorMessage="1" sqref="R5:S5">
      <formula1>'渠道分解&amp;Fba编码'!$M$2:$M$999</formula1>
    </dataValidation>
    <dataValidation type="list" allowBlank="1" showInputMessage="1" showErrorMessage="1" sqref="C6:F6">
      <formula1>'渠道分解&amp;Fba编码'!$C$2:$C$300</formula1>
    </dataValidation>
    <dataValidation type="list" allowBlank="1" showInputMessage="1" showErrorMessage="1" sqref="C7:D7">
      <formula1>"有单证,有单证+无单证(部分退税),无单证"</formula1>
    </dataValidation>
    <dataValidation type="list" allowBlank="1" showInputMessage="1" showErrorMessage="1" sqref="O7:S7">
      <formula1>"普货,纺织品,木制品,CPSC,DOT,FDA,EPA,危险品,化工品,敏感货,反倾销,其他附加费产品"</formula1>
    </dataValidation>
    <dataValidation type="list" allowBlank="1" showInputMessage="1" showErrorMessage="1" sqref="W7:X7 P10">
      <formula1>"是/Y,否/N"</formula1>
    </dataValidation>
    <dataValidation type="list" allowBlank="1" showInputMessage="1" showErrorMessage="1" sqref="O8">
      <formula1>"无,带电,带磁,粉末,液体,危险品"</formula1>
    </dataValidation>
    <dataValidation allowBlank="1" showInputMessage="1" showErrorMessage="1" sqref="O9:S9"/>
    <dataValidation type="list" allowBlank="1" showInputMessage="1" showErrorMessage="1" sqref="C10:D10">
      <formula1>"义乌仓,义乌二号仓,深圳仓,杭州仓,天津仓,宁波仓,余姚仓,广州(义乌)仓,广州(深圳)仓,澄海仓,中山仓,平湖仓,厦门仓,泉州仓,永进仓,太原仓,上海仓,永劲仓,上海三和(洋山)仓,龙星仓"</formula1>
    </dataValidation>
    <dataValidation type="list" allowBlank="1" showInputMessage="1" showErrorMessage="1" sqref="V12:V178">
      <formula1>"国内,国外"</formula1>
    </dataValidation>
  </dataValidations>
  <pageMargins left="0.354166666666667" right="0.314583333333333" top="0.511805555555556" bottom="0.511805555555556" header="0.5" footer="0.5"/>
  <pageSetup paperSize="9" scale="50" orientation="landscape"/>
  <headerFooter/>
  <ignoredErrors>
    <ignoredError sqref="R10 O10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46"/>
  <sheetViews>
    <sheetView topLeftCell="A629" workbookViewId="0">
      <selection activeCell="G646" sqref="G646"/>
    </sheetView>
  </sheetViews>
  <sheetFormatPr defaultColWidth="9" defaultRowHeight="14.25"/>
  <cols>
    <col min="1" max="1" width="2.875" customWidth="1"/>
    <col min="2" max="2" width="4.875" customWidth="1"/>
    <col min="3" max="3" width="27.625" customWidth="1"/>
    <col min="4" max="4" width="8.375" customWidth="1"/>
    <col min="5" max="5" width="14" customWidth="1"/>
    <col min="6" max="6" width="5.625" customWidth="1"/>
    <col min="7" max="7" width="59" customWidth="1"/>
    <col min="8" max="8" width="5.625" customWidth="1"/>
    <col min="9" max="9" width="13.75" customWidth="1"/>
    <col min="10" max="11" width="16" customWidth="1"/>
    <col min="12" max="12" width="12.875" customWidth="1"/>
  </cols>
  <sheetData>
    <row r="1" spans="1:9">
      <c r="A1" s="1"/>
      <c r="B1" s="2"/>
      <c r="C1" s="2"/>
      <c r="D1" s="2"/>
      <c r="E1" s="2"/>
      <c r="F1" s="2"/>
      <c r="G1" s="2"/>
      <c r="H1" s="2"/>
      <c r="I1" s="2"/>
    </row>
    <row r="2" spans="1:13">
      <c r="A2" s="3"/>
      <c r="B2" s="4" t="s">
        <v>68</v>
      </c>
      <c r="C2" s="3" t="s">
        <v>69</v>
      </c>
      <c r="D2" s="4" t="s">
        <v>70</v>
      </c>
      <c r="E2" t="s">
        <v>71</v>
      </c>
      <c r="F2" s="4" t="s">
        <v>72</v>
      </c>
      <c r="G2" t="s">
        <v>73</v>
      </c>
      <c r="H2" s="4" t="s">
        <v>74</v>
      </c>
      <c r="I2" s="4" t="s">
        <v>75</v>
      </c>
      <c r="J2" s="4" t="s">
        <v>76</v>
      </c>
      <c r="K2" s="4" t="s">
        <v>77</v>
      </c>
      <c r="L2" s="4" t="s">
        <v>78</v>
      </c>
      <c r="M2" s="4" t="s">
        <v>79</v>
      </c>
    </row>
    <row r="3" spans="3:13">
      <c r="C3" s="3" t="s">
        <v>80</v>
      </c>
      <c r="E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</row>
    <row r="4" spans="3:13">
      <c r="C4" s="3" t="s">
        <v>89</v>
      </c>
      <c r="E4" t="s">
        <v>90</v>
      </c>
      <c r="G4" t="s">
        <v>91</v>
      </c>
      <c r="H4" t="s">
        <v>92</v>
      </c>
      <c r="I4" t="s">
        <v>93</v>
      </c>
      <c r="J4" t="s">
        <v>94</v>
      </c>
      <c r="K4" t="s">
        <v>95</v>
      </c>
      <c r="L4" t="s">
        <v>96</v>
      </c>
      <c r="M4" t="s">
        <v>97</v>
      </c>
    </row>
    <row r="5" spans="3:13">
      <c r="C5" s="3" t="s">
        <v>98</v>
      </c>
      <c r="E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</row>
    <row r="6" spans="3:13">
      <c r="C6" s="3" t="s">
        <v>107</v>
      </c>
      <c r="E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</row>
    <row r="7" spans="3:13">
      <c r="C7" s="3" t="s">
        <v>116</v>
      </c>
      <c r="E7" t="s">
        <v>117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</row>
    <row r="8" spans="3:13">
      <c r="C8" s="3" t="s">
        <v>125</v>
      </c>
      <c r="E8" t="s">
        <v>126</v>
      </c>
      <c r="G8" t="s">
        <v>127</v>
      </c>
      <c r="H8" t="s">
        <v>128</v>
      </c>
      <c r="I8" t="s">
        <v>129</v>
      </c>
      <c r="J8" t="s">
        <v>130</v>
      </c>
      <c r="K8" t="s">
        <v>131</v>
      </c>
      <c r="L8" t="s">
        <v>132</v>
      </c>
      <c r="M8" t="s">
        <v>133</v>
      </c>
    </row>
    <row r="9" spans="3:13">
      <c r="C9" s="3" t="s">
        <v>134</v>
      </c>
      <c r="E9" t="s">
        <v>135</v>
      </c>
      <c r="G9" t="s">
        <v>136</v>
      </c>
      <c r="H9" t="s">
        <v>137</v>
      </c>
      <c r="I9" t="s">
        <v>138</v>
      </c>
      <c r="J9" t="s">
        <v>139</v>
      </c>
      <c r="K9" t="s">
        <v>140</v>
      </c>
      <c r="L9" t="s">
        <v>141</v>
      </c>
      <c r="M9" t="s">
        <v>142</v>
      </c>
    </row>
    <row r="10" spans="3:13">
      <c r="C10" s="3" t="s">
        <v>143</v>
      </c>
      <c r="E10" t="s">
        <v>144</v>
      </c>
      <c r="G10" t="s">
        <v>145</v>
      </c>
      <c r="H10" t="s">
        <v>146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</row>
    <row r="11" spans="3:13">
      <c r="C11" t="s">
        <v>152</v>
      </c>
      <c r="E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  <c r="M11" t="s">
        <v>160</v>
      </c>
    </row>
    <row r="12" spans="3:13">
      <c r="C12" t="s">
        <v>161</v>
      </c>
      <c r="E12" t="s">
        <v>162</v>
      </c>
      <c r="G12" t="s">
        <v>163</v>
      </c>
      <c r="H12" t="s">
        <v>164</v>
      </c>
      <c r="I12" t="s">
        <v>165</v>
      </c>
      <c r="J12" t="s">
        <v>166</v>
      </c>
      <c r="K12" t="s">
        <v>167</v>
      </c>
      <c r="L12" t="s">
        <v>168</v>
      </c>
      <c r="M12" t="s">
        <v>169</v>
      </c>
    </row>
    <row r="13" spans="3:13">
      <c r="C13" t="s">
        <v>170</v>
      </c>
      <c r="E13" t="s">
        <v>171</v>
      </c>
      <c r="G13" t="s">
        <v>172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</row>
    <row r="14" spans="3:13">
      <c r="C14" t="s">
        <v>179</v>
      </c>
      <c r="E14" t="s">
        <v>180</v>
      </c>
      <c r="G14" t="s">
        <v>181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</row>
    <row r="15" spans="3:13">
      <c r="C15" t="s">
        <v>188</v>
      </c>
      <c r="E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</row>
    <row r="16" spans="3:13">
      <c r="C16" s="5" t="s">
        <v>197</v>
      </c>
      <c r="E16" t="s">
        <v>198</v>
      </c>
      <c r="G16" t="s">
        <v>199</v>
      </c>
      <c r="H16" t="s">
        <v>200</v>
      </c>
      <c r="I16" t="s">
        <v>201</v>
      </c>
      <c r="J16" t="s">
        <v>202</v>
      </c>
      <c r="K16" t="s">
        <v>203</v>
      </c>
      <c r="L16" t="s">
        <v>204</v>
      </c>
      <c r="M16" t="s">
        <v>205</v>
      </c>
    </row>
    <row r="17" spans="3:13">
      <c r="C17" t="s">
        <v>206</v>
      </c>
      <c r="E17" t="s">
        <v>207</v>
      </c>
      <c r="G17" t="s">
        <v>208</v>
      </c>
      <c r="H17" t="s">
        <v>209</v>
      </c>
      <c r="I17" t="s">
        <v>210</v>
      </c>
      <c r="J17" t="s">
        <v>211</v>
      </c>
      <c r="K17" t="s">
        <v>212</v>
      </c>
      <c r="L17" t="s">
        <v>213</v>
      </c>
      <c r="M17" t="s">
        <v>214</v>
      </c>
    </row>
    <row r="18" spans="3:13">
      <c r="C18" t="s">
        <v>215</v>
      </c>
      <c r="E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222</v>
      </c>
      <c r="M18" t="s">
        <v>223</v>
      </c>
    </row>
    <row r="19" spans="3:13">
      <c r="C19" t="s">
        <v>224</v>
      </c>
      <c r="E19" t="s">
        <v>225</v>
      </c>
      <c r="G19" t="s">
        <v>226</v>
      </c>
      <c r="H19" t="s">
        <v>227</v>
      </c>
      <c r="I19" t="s">
        <v>228</v>
      </c>
      <c r="J19" t="s">
        <v>229</v>
      </c>
      <c r="K19" t="s">
        <v>230</v>
      </c>
      <c r="L19" t="s">
        <v>231</v>
      </c>
      <c r="M19" t="s">
        <v>200</v>
      </c>
    </row>
    <row r="20" spans="3:13">
      <c r="C20" t="s">
        <v>232</v>
      </c>
      <c r="E20" t="s">
        <v>233</v>
      </c>
      <c r="G20" t="s">
        <v>234</v>
      </c>
      <c r="H20" t="s">
        <v>235</v>
      </c>
      <c r="I20" t="s">
        <v>236</v>
      </c>
      <c r="J20" t="s">
        <v>237</v>
      </c>
      <c r="K20" t="s">
        <v>238</v>
      </c>
      <c r="L20" t="s">
        <v>239</v>
      </c>
      <c r="M20" t="s">
        <v>182</v>
      </c>
    </row>
    <row r="21" spans="3:13">
      <c r="C21" t="s">
        <v>240</v>
      </c>
      <c r="E21" t="s">
        <v>241</v>
      </c>
      <c r="G21" t="s">
        <v>242</v>
      </c>
      <c r="H21" t="s">
        <v>243</v>
      </c>
      <c r="I21" t="s">
        <v>244</v>
      </c>
      <c r="J21" t="s">
        <v>245</v>
      </c>
      <c r="K21" t="s">
        <v>246</v>
      </c>
      <c r="L21" t="s">
        <v>247</v>
      </c>
      <c r="M21" t="s">
        <v>248</v>
      </c>
    </row>
    <row r="22" spans="3:13">
      <c r="C22" t="s">
        <v>249</v>
      </c>
      <c r="E22" t="s">
        <v>250</v>
      </c>
      <c r="G22" t="s">
        <v>251</v>
      </c>
      <c r="H22" t="s">
        <v>252</v>
      </c>
      <c r="I22" t="s">
        <v>253</v>
      </c>
      <c r="J22" t="s">
        <v>254</v>
      </c>
      <c r="K22" t="s">
        <v>255</v>
      </c>
      <c r="L22" t="s">
        <v>256</v>
      </c>
      <c r="M22" t="s">
        <v>257</v>
      </c>
    </row>
    <row r="23" spans="3:13">
      <c r="C23" t="s">
        <v>258</v>
      </c>
      <c r="E23" t="s">
        <v>259</v>
      </c>
      <c r="G23" t="s">
        <v>260</v>
      </c>
      <c r="H23" t="s">
        <v>261</v>
      </c>
      <c r="I23" t="s">
        <v>262</v>
      </c>
      <c r="J23" t="s">
        <v>263</v>
      </c>
      <c r="K23" t="s">
        <v>264</v>
      </c>
      <c r="L23" t="s">
        <v>265</v>
      </c>
      <c r="M23" t="s">
        <v>191</v>
      </c>
    </row>
    <row r="24" spans="3:13">
      <c r="C24" t="s">
        <v>266</v>
      </c>
      <c r="E24" t="s">
        <v>267</v>
      </c>
      <c r="G24" t="s">
        <v>268</v>
      </c>
      <c r="H24" t="s">
        <v>269</v>
      </c>
      <c r="I24" t="s">
        <v>270</v>
      </c>
      <c r="J24" t="s">
        <v>271</v>
      </c>
      <c r="K24" t="s">
        <v>272</v>
      </c>
      <c r="L24" t="s">
        <v>273</v>
      </c>
      <c r="M24" t="s">
        <v>274</v>
      </c>
    </row>
    <row r="25" spans="3:13">
      <c r="C25" t="s">
        <v>275</v>
      </c>
      <c r="E25" t="s">
        <v>276</v>
      </c>
      <c r="G25" t="s">
        <v>277</v>
      </c>
      <c r="H25" t="s">
        <v>278</v>
      </c>
      <c r="I25" t="s">
        <v>279</v>
      </c>
      <c r="J25" t="s">
        <v>280</v>
      </c>
      <c r="K25" t="s">
        <v>281</v>
      </c>
      <c r="L25" t="s">
        <v>282</v>
      </c>
      <c r="M25" t="s">
        <v>283</v>
      </c>
    </row>
    <row r="26" spans="3:13">
      <c r="C26" t="s">
        <v>284</v>
      </c>
      <c r="E26" t="s">
        <v>285</v>
      </c>
      <c r="G26" t="s">
        <v>286</v>
      </c>
      <c r="H26" t="s">
        <v>287</v>
      </c>
      <c r="I26" t="s">
        <v>288</v>
      </c>
      <c r="J26" t="s">
        <v>289</v>
      </c>
      <c r="K26" t="s">
        <v>290</v>
      </c>
      <c r="L26" t="s">
        <v>291</v>
      </c>
      <c r="M26" t="s">
        <v>292</v>
      </c>
    </row>
    <row r="27" spans="3:13">
      <c r="C27" t="s">
        <v>293</v>
      </c>
      <c r="E27" t="s">
        <v>294</v>
      </c>
      <c r="G27" t="s">
        <v>295</v>
      </c>
      <c r="H27" t="s">
        <v>296</v>
      </c>
      <c r="I27" t="s">
        <v>297</v>
      </c>
      <c r="J27" t="s">
        <v>298</v>
      </c>
      <c r="K27" t="s">
        <v>299</v>
      </c>
      <c r="L27" t="s">
        <v>300</v>
      </c>
      <c r="M27" t="s">
        <v>235</v>
      </c>
    </row>
    <row r="28" spans="3:13">
      <c r="C28" t="s">
        <v>301</v>
      </c>
      <c r="E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</row>
    <row r="29" spans="3:13">
      <c r="C29" t="s">
        <v>310</v>
      </c>
      <c r="E29" t="s">
        <v>311</v>
      </c>
      <c r="G29" t="s">
        <v>312</v>
      </c>
      <c r="H29" t="s">
        <v>313</v>
      </c>
      <c r="I29" t="s">
        <v>314</v>
      </c>
      <c r="J29" t="s">
        <v>315</v>
      </c>
      <c r="K29" t="s">
        <v>316</v>
      </c>
      <c r="L29" t="s">
        <v>317</v>
      </c>
      <c r="M29" t="s">
        <v>296</v>
      </c>
    </row>
    <row r="30" spans="3:13">
      <c r="C30" t="s">
        <v>318</v>
      </c>
      <c r="E30" t="s">
        <v>319</v>
      </c>
      <c r="G30" t="s">
        <v>320</v>
      </c>
      <c r="H30" t="s">
        <v>321</v>
      </c>
      <c r="I30" t="s">
        <v>322</v>
      </c>
      <c r="J30" t="s">
        <v>323</v>
      </c>
      <c r="K30" t="s">
        <v>324</v>
      </c>
      <c r="L30" t="s">
        <v>325</v>
      </c>
      <c r="M30" t="s">
        <v>326</v>
      </c>
    </row>
    <row r="31" spans="3:13">
      <c r="C31" t="s">
        <v>327</v>
      </c>
      <c r="E31" t="s">
        <v>328</v>
      </c>
      <c r="G31" t="s">
        <v>329</v>
      </c>
      <c r="H31" t="s">
        <v>330</v>
      </c>
      <c r="I31" t="s">
        <v>331</v>
      </c>
      <c r="J31" t="s">
        <v>332</v>
      </c>
      <c r="K31" t="s">
        <v>333</v>
      </c>
      <c r="L31" t="s">
        <v>334</v>
      </c>
      <c r="M31" t="s">
        <v>335</v>
      </c>
    </row>
    <row r="32" spans="3:13">
      <c r="C32" t="s">
        <v>336</v>
      </c>
      <c r="E32" t="s">
        <v>337</v>
      </c>
      <c r="G32" t="s">
        <v>338</v>
      </c>
      <c r="H32" t="s">
        <v>339</v>
      </c>
      <c r="I32" t="s">
        <v>340</v>
      </c>
      <c r="J32" t="s">
        <v>341</v>
      </c>
      <c r="K32" t="s">
        <v>342</v>
      </c>
      <c r="L32" t="s">
        <v>343</v>
      </c>
      <c r="M32" t="s">
        <v>278</v>
      </c>
    </row>
    <row r="33" spans="3:13">
      <c r="C33" t="s">
        <v>344</v>
      </c>
      <c r="E33" t="s">
        <v>345</v>
      </c>
      <c r="G33" t="s">
        <v>346</v>
      </c>
      <c r="H33" t="s">
        <v>347</v>
      </c>
      <c r="I33" t="s">
        <v>348</v>
      </c>
      <c r="J33" t="s">
        <v>349</v>
      </c>
      <c r="K33" t="s">
        <v>350</v>
      </c>
      <c r="L33" t="s">
        <v>351</v>
      </c>
      <c r="M33" t="s">
        <v>352</v>
      </c>
    </row>
    <row r="34" spans="3:13">
      <c r="C34" t="s">
        <v>353</v>
      </c>
      <c r="E34" t="s">
        <v>354</v>
      </c>
      <c r="G34" t="s">
        <v>355</v>
      </c>
      <c r="H34" t="s">
        <v>356</v>
      </c>
      <c r="I34" t="s">
        <v>357</v>
      </c>
      <c r="J34" t="s">
        <v>358</v>
      </c>
      <c r="K34" t="s">
        <v>359</v>
      </c>
      <c r="L34" t="s">
        <v>360</v>
      </c>
      <c r="M34" t="s">
        <v>361</v>
      </c>
    </row>
    <row r="35" spans="3:13">
      <c r="C35" t="s">
        <v>362</v>
      </c>
      <c r="E35" t="s">
        <v>363</v>
      </c>
      <c r="G35" t="s">
        <v>364</v>
      </c>
      <c r="H35" t="s">
        <v>365</v>
      </c>
      <c r="I35" t="s">
        <v>366</v>
      </c>
      <c r="J35" t="s">
        <v>367</v>
      </c>
      <c r="K35" t="s">
        <v>368</v>
      </c>
      <c r="L35" t="s">
        <v>369</v>
      </c>
      <c r="M35" t="s">
        <v>370</v>
      </c>
    </row>
    <row r="36" spans="3:13">
      <c r="C36" t="s">
        <v>371</v>
      </c>
      <c r="E36" t="s">
        <v>372</v>
      </c>
      <c r="G36" t="s">
        <v>373</v>
      </c>
      <c r="H36" t="s">
        <v>374</v>
      </c>
      <c r="I36" t="s">
        <v>375</v>
      </c>
      <c r="J36" t="s">
        <v>376</v>
      </c>
      <c r="K36" t="s">
        <v>377</v>
      </c>
      <c r="L36" t="s">
        <v>378</v>
      </c>
      <c r="M36" t="s">
        <v>379</v>
      </c>
    </row>
    <row r="37" spans="3:13">
      <c r="C37" t="s">
        <v>380</v>
      </c>
      <c r="E37" t="s">
        <v>381</v>
      </c>
      <c r="G37" t="s">
        <v>382</v>
      </c>
      <c r="H37" t="s">
        <v>383</v>
      </c>
      <c r="I37" t="s">
        <v>384</v>
      </c>
      <c r="J37" t="s">
        <v>385</v>
      </c>
      <c r="K37" t="s">
        <v>386</v>
      </c>
      <c r="L37" t="s">
        <v>387</v>
      </c>
      <c r="M37" t="s">
        <v>388</v>
      </c>
    </row>
    <row r="38" spans="3:13">
      <c r="C38" s="6" t="s">
        <v>389</v>
      </c>
      <c r="E38" t="s">
        <v>390</v>
      </c>
      <c r="G38" t="s">
        <v>391</v>
      </c>
      <c r="H38" t="s">
        <v>392</v>
      </c>
      <c r="I38" t="s">
        <v>393</v>
      </c>
      <c r="J38" t="s">
        <v>394</v>
      </c>
      <c r="K38" t="s">
        <v>395</v>
      </c>
      <c r="L38" t="s">
        <v>396</v>
      </c>
      <c r="M38" t="s">
        <v>397</v>
      </c>
    </row>
    <row r="39" spans="3:13">
      <c r="C39" s="6" t="s">
        <v>398</v>
      </c>
      <c r="E39" t="s">
        <v>399</v>
      </c>
      <c r="G39" t="s">
        <v>400</v>
      </c>
      <c r="H39" t="s">
        <v>401</v>
      </c>
      <c r="I39" t="s">
        <v>402</v>
      </c>
      <c r="J39" t="s">
        <v>403</v>
      </c>
      <c r="K39" t="s">
        <v>404</v>
      </c>
      <c r="L39" t="s">
        <v>405</v>
      </c>
      <c r="M39" t="s">
        <v>406</v>
      </c>
    </row>
    <row r="40" spans="3:13">
      <c r="C40" s="6" t="s">
        <v>407</v>
      </c>
      <c r="E40" t="s">
        <v>408</v>
      </c>
      <c r="G40" t="s">
        <v>409</v>
      </c>
      <c r="H40" t="s">
        <v>410</v>
      </c>
      <c r="I40" t="s">
        <v>411</v>
      </c>
      <c r="J40" t="s">
        <v>412</v>
      </c>
      <c r="K40" t="s">
        <v>413</v>
      </c>
      <c r="L40" t="s">
        <v>414</v>
      </c>
      <c r="M40" t="s">
        <v>415</v>
      </c>
    </row>
    <row r="41" spans="3:13">
      <c r="C41" s="6" t="s">
        <v>416</v>
      </c>
      <c r="E41" t="s">
        <v>417</v>
      </c>
      <c r="G41" t="s">
        <v>418</v>
      </c>
      <c r="H41" t="s">
        <v>419</v>
      </c>
      <c r="I41" t="s">
        <v>420</v>
      </c>
      <c r="J41" t="s">
        <v>421</v>
      </c>
      <c r="K41" t="s">
        <v>422</v>
      </c>
      <c r="L41" t="s">
        <v>423</v>
      </c>
      <c r="M41" t="s">
        <v>424</v>
      </c>
    </row>
    <row r="42" spans="3:13">
      <c r="C42" s="6" t="s">
        <v>425</v>
      </c>
      <c r="E42" t="s">
        <v>426</v>
      </c>
      <c r="G42" t="s">
        <v>427</v>
      </c>
      <c r="H42" t="s">
        <v>428</v>
      </c>
      <c r="I42" t="s">
        <v>429</v>
      </c>
      <c r="J42" t="s">
        <v>430</v>
      </c>
      <c r="K42" t="s">
        <v>431</v>
      </c>
      <c r="L42" t="s">
        <v>432</v>
      </c>
      <c r="M42" t="s">
        <v>433</v>
      </c>
    </row>
    <row r="43" spans="3:13">
      <c r="C43" s="6" t="s">
        <v>434</v>
      </c>
      <c r="E43" t="s">
        <v>435</v>
      </c>
      <c r="G43" t="s">
        <v>436</v>
      </c>
      <c r="H43" t="s">
        <v>437</v>
      </c>
      <c r="I43" t="s">
        <v>438</v>
      </c>
      <c r="J43" t="s">
        <v>439</v>
      </c>
      <c r="K43" t="s">
        <v>440</v>
      </c>
      <c r="L43" t="s">
        <v>441</v>
      </c>
      <c r="M43" t="s">
        <v>442</v>
      </c>
    </row>
    <row r="44" spans="3:13">
      <c r="C44" t="s">
        <v>443</v>
      </c>
      <c r="E44" t="s">
        <v>444</v>
      </c>
      <c r="G44" t="s">
        <v>445</v>
      </c>
      <c r="H44" t="s">
        <v>446</v>
      </c>
      <c r="I44" t="s">
        <v>447</v>
      </c>
      <c r="J44" t="s">
        <v>448</v>
      </c>
      <c r="K44" t="s">
        <v>449</v>
      </c>
      <c r="L44" t="s">
        <v>450</v>
      </c>
      <c r="M44" t="s">
        <v>451</v>
      </c>
    </row>
    <row r="45" spans="3:13">
      <c r="C45" t="s">
        <v>452</v>
      </c>
      <c r="E45" t="s">
        <v>453</v>
      </c>
      <c r="G45" t="s">
        <v>454</v>
      </c>
      <c r="H45" t="s">
        <v>455</v>
      </c>
      <c r="I45" t="s">
        <v>456</v>
      </c>
      <c r="J45" t="s">
        <v>457</v>
      </c>
      <c r="K45" t="s">
        <v>458</v>
      </c>
      <c r="L45" t="s">
        <v>459</v>
      </c>
      <c r="M45" t="s">
        <v>460</v>
      </c>
    </row>
    <row r="46" spans="3:13">
      <c r="C46" t="s">
        <v>461</v>
      </c>
      <c r="E46" t="s">
        <v>462</v>
      </c>
      <c r="G46" t="s">
        <v>463</v>
      </c>
      <c r="H46" t="s">
        <v>464</v>
      </c>
      <c r="I46" t="s">
        <v>465</v>
      </c>
      <c r="J46" t="s">
        <v>466</v>
      </c>
      <c r="K46" t="s">
        <v>467</v>
      </c>
      <c r="L46" t="s">
        <v>468</v>
      </c>
      <c r="M46" t="s">
        <v>469</v>
      </c>
    </row>
    <row r="47" spans="3:13">
      <c r="C47" t="s">
        <v>470</v>
      </c>
      <c r="E47" t="s">
        <v>471</v>
      </c>
      <c r="G47" t="s">
        <v>463</v>
      </c>
      <c r="H47" t="s">
        <v>472</v>
      </c>
      <c r="I47" t="s">
        <v>473</v>
      </c>
      <c r="J47" t="s">
        <v>474</v>
      </c>
      <c r="K47" t="s">
        <v>475</v>
      </c>
      <c r="L47" t="s">
        <v>476</v>
      </c>
      <c r="M47" t="s">
        <v>477</v>
      </c>
    </row>
    <row r="48" spans="3:13">
      <c r="C48" t="s">
        <v>478</v>
      </c>
      <c r="E48" t="s">
        <v>479</v>
      </c>
      <c r="G48" t="s">
        <v>480</v>
      </c>
      <c r="H48" t="s">
        <v>481</v>
      </c>
      <c r="I48" t="s">
        <v>482</v>
      </c>
      <c r="J48" t="s">
        <v>483</v>
      </c>
      <c r="K48" t="s">
        <v>484</v>
      </c>
      <c r="L48" t="s">
        <v>485</v>
      </c>
      <c r="M48" t="s">
        <v>486</v>
      </c>
    </row>
    <row r="49" spans="3:13">
      <c r="C49" t="s">
        <v>487</v>
      </c>
      <c r="E49" t="s">
        <v>488</v>
      </c>
      <c r="G49" t="s">
        <v>489</v>
      </c>
      <c r="H49" t="s">
        <v>490</v>
      </c>
      <c r="I49" t="s">
        <v>491</v>
      </c>
      <c r="J49" t="s">
        <v>492</v>
      </c>
      <c r="K49" t="s">
        <v>493</v>
      </c>
      <c r="L49" t="s">
        <v>494</v>
      </c>
      <c r="M49" t="s">
        <v>495</v>
      </c>
    </row>
    <row r="50" spans="3:13">
      <c r="C50" t="s">
        <v>496</v>
      </c>
      <c r="E50" t="s">
        <v>497</v>
      </c>
      <c r="G50" t="s">
        <v>498</v>
      </c>
      <c r="H50" t="s">
        <v>499</v>
      </c>
      <c r="I50" t="s">
        <v>500</v>
      </c>
      <c r="J50" t="s">
        <v>501</v>
      </c>
      <c r="K50" t="s">
        <v>502</v>
      </c>
      <c r="L50" t="s">
        <v>503</v>
      </c>
      <c r="M50" t="s">
        <v>504</v>
      </c>
    </row>
    <row r="51" spans="3:13">
      <c r="C51" t="s">
        <v>505</v>
      </c>
      <c r="E51" t="s">
        <v>506</v>
      </c>
      <c r="G51" t="s">
        <v>507</v>
      </c>
      <c r="H51" t="s">
        <v>508</v>
      </c>
      <c r="I51" t="s">
        <v>509</v>
      </c>
      <c r="J51" t="s">
        <v>510</v>
      </c>
      <c r="K51" t="s">
        <v>511</v>
      </c>
      <c r="L51" t="s">
        <v>512</v>
      </c>
      <c r="M51" t="s">
        <v>513</v>
      </c>
    </row>
    <row r="52" spans="3:13">
      <c r="C52" t="s">
        <v>514</v>
      </c>
      <c r="E52" t="s">
        <v>515</v>
      </c>
      <c r="G52" t="s">
        <v>516</v>
      </c>
      <c r="H52" t="s">
        <v>517</v>
      </c>
      <c r="I52" t="s">
        <v>518</v>
      </c>
      <c r="J52" t="s">
        <v>519</v>
      </c>
      <c r="K52" t="s">
        <v>520</v>
      </c>
      <c r="L52" t="s">
        <v>521</v>
      </c>
      <c r="M52" t="s">
        <v>522</v>
      </c>
    </row>
    <row r="53" spans="3:13">
      <c r="C53" s="7" t="s">
        <v>523</v>
      </c>
      <c r="E53" t="s">
        <v>524</v>
      </c>
      <c r="G53" t="s">
        <v>525</v>
      </c>
      <c r="L53" t="s">
        <v>526</v>
      </c>
      <c r="M53" t="s">
        <v>527</v>
      </c>
    </row>
    <row r="54" spans="3:13">
      <c r="C54" s="7" t="s">
        <v>528</v>
      </c>
      <c r="E54" t="s">
        <v>529</v>
      </c>
      <c r="G54" t="s">
        <v>530</v>
      </c>
      <c r="L54" t="s">
        <v>531</v>
      </c>
      <c r="M54" t="s">
        <v>532</v>
      </c>
    </row>
    <row r="55" spans="3:13">
      <c r="C55" s="7" t="s">
        <v>533</v>
      </c>
      <c r="E55" t="s">
        <v>534</v>
      </c>
      <c r="G55" t="s">
        <v>535</v>
      </c>
      <c r="L55" t="s">
        <v>536</v>
      </c>
      <c r="M55" t="s">
        <v>537</v>
      </c>
    </row>
    <row r="56" spans="3:13">
      <c r="C56" s="7" t="s">
        <v>538</v>
      </c>
      <c r="E56" t="s">
        <v>539</v>
      </c>
      <c r="G56" t="s">
        <v>540</v>
      </c>
      <c r="L56" t="s">
        <v>541</v>
      </c>
      <c r="M56" t="s">
        <v>542</v>
      </c>
    </row>
    <row r="57" spans="3:13">
      <c r="C57" s="7" t="s">
        <v>543</v>
      </c>
      <c r="E57" t="s">
        <v>544</v>
      </c>
      <c r="G57" t="s">
        <v>545</v>
      </c>
      <c r="L57" t="s">
        <v>546</v>
      </c>
      <c r="M57" t="s">
        <v>547</v>
      </c>
    </row>
    <row r="58" spans="3:13">
      <c r="C58" s="7" t="s">
        <v>548</v>
      </c>
      <c r="E58" t="s">
        <v>549</v>
      </c>
      <c r="G58" t="s">
        <v>545</v>
      </c>
      <c r="L58" t="s">
        <v>550</v>
      </c>
      <c r="M58" t="s">
        <v>551</v>
      </c>
    </row>
    <row r="59" spans="3:13">
      <c r="C59" s="7" t="s">
        <v>552</v>
      </c>
      <c r="E59" t="s">
        <v>553</v>
      </c>
      <c r="G59" t="s">
        <v>554</v>
      </c>
      <c r="L59" t="s">
        <v>555</v>
      </c>
      <c r="M59" t="s">
        <v>556</v>
      </c>
    </row>
    <row r="60" spans="3:13">
      <c r="C60" s="7" t="s">
        <v>557</v>
      </c>
      <c r="E60" t="s">
        <v>558</v>
      </c>
      <c r="G60" t="s">
        <v>559</v>
      </c>
      <c r="L60" t="s">
        <v>560</v>
      </c>
      <c r="M60" t="s">
        <v>561</v>
      </c>
    </row>
    <row r="61" spans="3:13">
      <c r="C61" s="7" t="s">
        <v>562</v>
      </c>
      <c r="E61" t="s">
        <v>563</v>
      </c>
      <c r="G61" t="s">
        <v>564</v>
      </c>
      <c r="L61" t="s">
        <v>565</v>
      </c>
      <c r="M61" t="s">
        <v>566</v>
      </c>
    </row>
    <row r="62" spans="3:13">
      <c r="C62" s="7" t="s">
        <v>567</v>
      </c>
      <c r="E62" t="s">
        <v>568</v>
      </c>
      <c r="G62" t="s">
        <v>569</v>
      </c>
      <c r="L62" t="s">
        <v>570</v>
      </c>
      <c r="M62" t="s">
        <v>571</v>
      </c>
    </row>
    <row r="63" spans="3:13">
      <c r="C63" s="7" t="s">
        <v>572</v>
      </c>
      <c r="E63" t="s">
        <v>573</v>
      </c>
      <c r="G63" t="s">
        <v>574</v>
      </c>
      <c r="L63" t="s">
        <v>575</v>
      </c>
      <c r="M63" t="s">
        <v>576</v>
      </c>
    </row>
    <row r="64" spans="3:13">
      <c r="C64" s="7" t="s">
        <v>577</v>
      </c>
      <c r="E64" t="s">
        <v>578</v>
      </c>
      <c r="G64" t="s">
        <v>579</v>
      </c>
      <c r="L64" t="s">
        <v>580</v>
      </c>
      <c r="M64" t="s">
        <v>581</v>
      </c>
    </row>
    <row r="65" spans="3:13">
      <c r="C65" s="7" t="s">
        <v>582</v>
      </c>
      <c r="E65" t="s">
        <v>583</v>
      </c>
      <c r="G65" t="s">
        <v>584</v>
      </c>
      <c r="L65" t="s">
        <v>585</v>
      </c>
      <c r="M65" t="s">
        <v>586</v>
      </c>
    </row>
    <row r="66" spans="3:13">
      <c r="C66" s="7" t="s">
        <v>587</v>
      </c>
      <c r="E66" t="s">
        <v>588</v>
      </c>
      <c r="G66" t="s">
        <v>589</v>
      </c>
      <c r="L66" t="s">
        <v>590</v>
      </c>
      <c r="M66" t="s">
        <v>591</v>
      </c>
    </row>
    <row r="67" spans="3:13">
      <c r="C67" s="7" t="s">
        <v>592</v>
      </c>
      <c r="E67" t="s">
        <v>593</v>
      </c>
      <c r="G67" t="s">
        <v>594</v>
      </c>
      <c r="L67" t="s">
        <v>595</v>
      </c>
      <c r="M67" t="s">
        <v>596</v>
      </c>
    </row>
    <row r="68" spans="3:13">
      <c r="C68" s="7" t="s">
        <v>597</v>
      </c>
      <c r="E68" t="s">
        <v>598</v>
      </c>
      <c r="G68" t="s">
        <v>599</v>
      </c>
      <c r="L68" t="s">
        <v>600</v>
      </c>
      <c r="M68" t="s">
        <v>601</v>
      </c>
    </row>
    <row r="69" spans="3:13">
      <c r="C69" s="7" t="s">
        <v>602</v>
      </c>
      <c r="E69" t="s">
        <v>603</v>
      </c>
      <c r="G69" t="s">
        <v>604</v>
      </c>
      <c r="L69" t="s">
        <v>605</v>
      </c>
      <c r="M69" t="s">
        <v>606</v>
      </c>
    </row>
    <row r="70" spans="3:13">
      <c r="C70" s="7" t="s">
        <v>607</v>
      </c>
      <c r="E70" t="s">
        <v>608</v>
      </c>
      <c r="G70" t="s">
        <v>609</v>
      </c>
      <c r="L70" t="s">
        <v>610</v>
      </c>
      <c r="M70" t="s">
        <v>611</v>
      </c>
    </row>
    <row r="71" spans="3:13">
      <c r="C71" t="s">
        <v>612</v>
      </c>
      <c r="E71" t="s">
        <v>613</v>
      </c>
      <c r="G71" t="s">
        <v>614</v>
      </c>
      <c r="L71" t="s">
        <v>615</v>
      </c>
      <c r="M71" t="s">
        <v>164</v>
      </c>
    </row>
    <row r="72" spans="3:13">
      <c r="C72" t="s">
        <v>616</v>
      </c>
      <c r="E72" t="s">
        <v>617</v>
      </c>
      <c r="G72" t="s">
        <v>618</v>
      </c>
      <c r="L72" t="s">
        <v>619</v>
      </c>
      <c r="M72" t="s">
        <v>620</v>
      </c>
    </row>
    <row r="73" spans="3:13">
      <c r="C73" t="s">
        <v>621</v>
      </c>
      <c r="E73" t="s">
        <v>622</v>
      </c>
      <c r="G73" t="s">
        <v>623</v>
      </c>
      <c r="L73" t="s">
        <v>624</v>
      </c>
      <c r="M73" t="s">
        <v>625</v>
      </c>
    </row>
    <row r="74" spans="3:13">
      <c r="C74" s="7" t="s">
        <v>626</v>
      </c>
      <c r="E74" t="s">
        <v>627</v>
      </c>
      <c r="G74" t="s">
        <v>628</v>
      </c>
      <c r="L74" t="s">
        <v>629</v>
      </c>
      <c r="M74" t="s">
        <v>630</v>
      </c>
    </row>
    <row r="75" spans="3:13">
      <c r="C75" s="7" t="s">
        <v>631</v>
      </c>
      <c r="E75" t="s">
        <v>632</v>
      </c>
      <c r="G75" t="s">
        <v>633</v>
      </c>
      <c r="L75" t="s">
        <v>634</v>
      </c>
      <c r="M75" t="s">
        <v>635</v>
      </c>
    </row>
    <row r="76" spans="3:13">
      <c r="C76" s="7" t="s">
        <v>636</v>
      </c>
      <c r="E76" t="s">
        <v>637</v>
      </c>
      <c r="G76" t="s">
        <v>638</v>
      </c>
      <c r="L76" t="s">
        <v>639</v>
      </c>
      <c r="M76" t="s">
        <v>640</v>
      </c>
    </row>
    <row r="77" spans="3:13">
      <c r="C77" s="7" t="s">
        <v>641</v>
      </c>
      <c r="E77" t="s">
        <v>642</v>
      </c>
      <c r="G77" t="s">
        <v>643</v>
      </c>
      <c r="L77" t="s">
        <v>644</v>
      </c>
      <c r="M77" t="s">
        <v>645</v>
      </c>
    </row>
    <row r="78" spans="3:13">
      <c r="C78" s="7" t="s">
        <v>646</v>
      </c>
      <c r="E78" t="s">
        <v>647</v>
      </c>
      <c r="G78" t="s">
        <v>648</v>
      </c>
      <c r="L78" t="s">
        <v>649</v>
      </c>
      <c r="M78" t="s">
        <v>650</v>
      </c>
    </row>
    <row r="79" spans="3:13">
      <c r="C79" s="7" t="s">
        <v>651</v>
      </c>
      <c r="E79" t="s">
        <v>652</v>
      </c>
      <c r="G79" t="s">
        <v>653</v>
      </c>
      <c r="L79" t="s">
        <v>654</v>
      </c>
      <c r="M79" t="s">
        <v>655</v>
      </c>
    </row>
    <row r="80" spans="3:13">
      <c r="C80" t="s">
        <v>656</v>
      </c>
      <c r="E80" t="s">
        <v>657</v>
      </c>
      <c r="G80" t="s">
        <v>658</v>
      </c>
      <c r="L80" t="s">
        <v>659</v>
      </c>
      <c r="M80" t="s">
        <v>660</v>
      </c>
    </row>
    <row r="81" spans="3:13">
      <c r="C81" t="s">
        <v>661</v>
      </c>
      <c r="E81" t="s">
        <v>662</v>
      </c>
      <c r="G81" t="s">
        <v>663</v>
      </c>
      <c r="L81" t="s">
        <v>664</v>
      </c>
      <c r="M81" t="s">
        <v>665</v>
      </c>
    </row>
    <row r="82" spans="3:13">
      <c r="C82" t="s">
        <v>666</v>
      </c>
      <c r="E82" t="s">
        <v>667</v>
      </c>
      <c r="G82" t="s">
        <v>663</v>
      </c>
      <c r="L82" t="s">
        <v>668</v>
      </c>
      <c r="M82" t="s">
        <v>669</v>
      </c>
    </row>
    <row r="83" spans="3:13">
      <c r="C83" t="s">
        <v>670</v>
      </c>
      <c r="E83" t="s">
        <v>671</v>
      </c>
      <c r="G83" t="s">
        <v>672</v>
      </c>
      <c r="L83" t="s">
        <v>673</v>
      </c>
      <c r="M83" t="s">
        <v>674</v>
      </c>
    </row>
    <row r="84" spans="3:13">
      <c r="C84" t="s">
        <v>675</v>
      </c>
      <c r="E84" t="s">
        <v>676</v>
      </c>
      <c r="G84" t="s">
        <v>677</v>
      </c>
      <c r="L84" t="s">
        <v>678</v>
      </c>
      <c r="M84" t="s">
        <v>679</v>
      </c>
    </row>
    <row r="85" spans="3:13">
      <c r="C85" t="s">
        <v>680</v>
      </c>
      <c r="E85" t="s">
        <v>681</v>
      </c>
      <c r="G85" t="s">
        <v>682</v>
      </c>
      <c r="L85" t="s">
        <v>683</v>
      </c>
      <c r="M85" t="s">
        <v>261</v>
      </c>
    </row>
    <row r="86" spans="3:13">
      <c r="C86" t="s">
        <v>684</v>
      </c>
      <c r="E86" t="s">
        <v>685</v>
      </c>
      <c r="G86" t="s">
        <v>686</v>
      </c>
      <c r="L86" t="s">
        <v>687</v>
      </c>
      <c r="M86" t="s">
        <v>688</v>
      </c>
    </row>
    <row r="87" spans="3:13">
      <c r="C87" t="s">
        <v>689</v>
      </c>
      <c r="E87" t="s">
        <v>690</v>
      </c>
      <c r="G87" t="s">
        <v>691</v>
      </c>
      <c r="L87" t="s">
        <v>692</v>
      </c>
      <c r="M87" t="s">
        <v>693</v>
      </c>
    </row>
    <row r="88" spans="3:13">
      <c r="C88" t="s">
        <v>694</v>
      </c>
      <c r="E88" t="s">
        <v>695</v>
      </c>
      <c r="G88" t="s">
        <v>696</v>
      </c>
      <c r="L88" t="s">
        <v>697</v>
      </c>
      <c r="M88" t="s">
        <v>313</v>
      </c>
    </row>
    <row r="89" spans="3:13">
      <c r="C89" t="s">
        <v>698</v>
      </c>
      <c r="E89" t="s">
        <v>699</v>
      </c>
      <c r="G89" t="s">
        <v>700</v>
      </c>
      <c r="L89" t="s">
        <v>701</v>
      </c>
      <c r="M89" t="s">
        <v>702</v>
      </c>
    </row>
    <row r="90" spans="3:13">
      <c r="C90" t="s">
        <v>703</v>
      </c>
      <c r="E90" t="s">
        <v>704</v>
      </c>
      <c r="G90" t="s">
        <v>705</v>
      </c>
      <c r="L90" t="s">
        <v>706</v>
      </c>
      <c r="M90" t="s">
        <v>707</v>
      </c>
    </row>
    <row r="91" spans="3:13">
      <c r="C91" t="s">
        <v>708</v>
      </c>
      <c r="E91" t="s">
        <v>709</v>
      </c>
      <c r="G91" t="s">
        <v>710</v>
      </c>
      <c r="L91" t="s">
        <v>711</v>
      </c>
      <c r="M91" t="s">
        <v>712</v>
      </c>
    </row>
    <row r="92" spans="3:13">
      <c r="C92" t="s">
        <v>713</v>
      </c>
      <c r="E92" t="s">
        <v>714</v>
      </c>
      <c r="G92" t="s">
        <v>715</v>
      </c>
      <c r="L92" t="s">
        <v>716</v>
      </c>
      <c r="M92" t="s">
        <v>717</v>
      </c>
    </row>
    <row r="93" spans="3:13">
      <c r="C93" t="s">
        <v>718</v>
      </c>
      <c r="E93" t="s">
        <v>719</v>
      </c>
      <c r="G93" t="s">
        <v>720</v>
      </c>
      <c r="L93" t="s">
        <v>721</v>
      </c>
      <c r="M93" t="s">
        <v>722</v>
      </c>
    </row>
    <row r="94" spans="3:13">
      <c r="C94" t="s">
        <v>723</v>
      </c>
      <c r="E94" t="s">
        <v>724</v>
      </c>
      <c r="G94" t="s">
        <v>725</v>
      </c>
      <c r="L94" t="s">
        <v>726</v>
      </c>
      <c r="M94" t="s">
        <v>428</v>
      </c>
    </row>
    <row r="95" spans="3:13">
      <c r="C95" t="s">
        <v>727</v>
      </c>
      <c r="E95" t="s">
        <v>728</v>
      </c>
      <c r="G95" t="s">
        <v>729</v>
      </c>
      <c r="L95" t="s">
        <v>730</v>
      </c>
      <c r="M95" t="s">
        <v>731</v>
      </c>
    </row>
    <row r="96" spans="3:13">
      <c r="C96" t="s">
        <v>732</v>
      </c>
      <c r="E96" t="s">
        <v>733</v>
      </c>
      <c r="G96" t="s">
        <v>734</v>
      </c>
      <c r="L96" t="s">
        <v>735</v>
      </c>
      <c r="M96" t="s">
        <v>736</v>
      </c>
    </row>
    <row r="97" spans="3:13">
      <c r="C97" t="s">
        <v>737</v>
      </c>
      <c r="E97" t="s">
        <v>738</v>
      </c>
      <c r="G97" t="s">
        <v>739</v>
      </c>
      <c r="L97" t="s">
        <v>740</v>
      </c>
      <c r="M97" t="s">
        <v>741</v>
      </c>
    </row>
    <row r="98" spans="3:13">
      <c r="C98" s="7" t="s">
        <v>742</v>
      </c>
      <c r="E98" t="s">
        <v>743</v>
      </c>
      <c r="G98" t="s">
        <v>744</v>
      </c>
      <c r="L98" t="s">
        <v>745</v>
      </c>
      <c r="M98" t="s">
        <v>746</v>
      </c>
    </row>
    <row r="99" spans="3:13">
      <c r="C99" s="7" t="s">
        <v>747</v>
      </c>
      <c r="E99" t="s">
        <v>748</v>
      </c>
      <c r="G99" t="s">
        <v>749</v>
      </c>
      <c r="L99" t="s">
        <v>750</v>
      </c>
      <c r="M99" t="s">
        <v>437</v>
      </c>
    </row>
    <row r="100" spans="3:13">
      <c r="C100" s="7" t="s">
        <v>751</v>
      </c>
      <c r="E100" t="s">
        <v>752</v>
      </c>
      <c r="G100" t="s">
        <v>753</v>
      </c>
      <c r="L100" t="s">
        <v>754</v>
      </c>
      <c r="M100" t="s">
        <v>755</v>
      </c>
    </row>
    <row r="101" spans="3:13">
      <c r="C101" s="7" t="s">
        <v>756</v>
      </c>
      <c r="E101" t="s">
        <v>757</v>
      </c>
      <c r="G101" t="s">
        <v>758</v>
      </c>
      <c r="L101" t="s">
        <v>759</v>
      </c>
      <c r="M101" t="s">
        <v>760</v>
      </c>
    </row>
    <row r="102" spans="3:13">
      <c r="C102" s="7" t="s">
        <v>761</v>
      </c>
      <c r="E102" t="s">
        <v>762</v>
      </c>
      <c r="G102" t="s">
        <v>763</v>
      </c>
      <c r="L102" t="s">
        <v>764</v>
      </c>
      <c r="M102" t="s">
        <v>446</v>
      </c>
    </row>
    <row r="103" spans="3:13">
      <c r="C103" s="7" t="s">
        <v>765</v>
      </c>
      <c r="E103" t="s">
        <v>766</v>
      </c>
      <c r="G103" t="s">
        <v>767</v>
      </c>
      <c r="L103" t="s">
        <v>768</v>
      </c>
      <c r="M103" t="s">
        <v>769</v>
      </c>
    </row>
    <row r="104" spans="3:13">
      <c r="C104" s="8" t="s">
        <v>770</v>
      </c>
      <c r="E104" t="s">
        <v>771</v>
      </c>
      <c r="G104" t="s">
        <v>772</v>
      </c>
      <c r="L104" t="s">
        <v>773</v>
      </c>
      <c r="M104" t="s">
        <v>774</v>
      </c>
    </row>
    <row r="105" spans="3:13">
      <c r="C105" s="8" t="s">
        <v>775</v>
      </c>
      <c r="E105" t="s">
        <v>776</v>
      </c>
      <c r="G105" t="s">
        <v>777</v>
      </c>
      <c r="L105" t="s">
        <v>778</v>
      </c>
      <c r="M105" t="s">
        <v>779</v>
      </c>
    </row>
    <row r="106" spans="3:13">
      <c r="C106" s="9" t="s">
        <v>780</v>
      </c>
      <c r="E106" t="s">
        <v>781</v>
      </c>
      <c r="G106" t="s">
        <v>782</v>
      </c>
      <c r="L106" t="s">
        <v>783</v>
      </c>
      <c r="M106" t="s">
        <v>784</v>
      </c>
    </row>
    <row r="107" spans="3:13">
      <c r="C107" s="9" t="s">
        <v>785</v>
      </c>
      <c r="E107" t="s">
        <v>786</v>
      </c>
      <c r="G107" t="s">
        <v>787</v>
      </c>
      <c r="L107" t="s">
        <v>788</v>
      </c>
      <c r="M107" t="s">
        <v>789</v>
      </c>
    </row>
    <row r="108" spans="3:13">
      <c r="C108" s="9" t="s">
        <v>790</v>
      </c>
      <c r="E108" t="s">
        <v>791</v>
      </c>
      <c r="G108" t="s">
        <v>792</v>
      </c>
      <c r="L108" t="s">
        <v>793</v>
      </c>
      <c r="M108" t="s">
        <v>794</v>
      </c>
    </row>
    <row r="109" spans="3:13">
      <c r="C109" s="9" t="s">
        <v>795</v>
      </c>
      <c r="E109" t="s">
        <v>796</v>
      </c>
      <c r="G109" t="s">
        <v>797</v>
      </c>
      <c r="L109" t="s">
        <v>798</v>
      </c>
      <c r="M109" t="s">
        <v>799</v>
      </c>
    </row>
    <row r="110" spans="3:13">
      <c r="C110" s="9" t="s">
        <v>800</v>
      </c>
      <c r="E110" t="s">
        <v>801</v>
      </c>
      <c r="G110" t="s">
        <v>797</v>
      </c>
      <c r="L110" t="s">
        <v>802</v>
      </c>
      <c r="M110" t="s">
        <v>803</v>
      </c>
    </row>
    <row r="111" spans="3:13">
      <c r="C111" t="s">
        <v>804</v>
      </c>
      <c r="E111" t="s">
        <v>805</v>
      </c>
      <c r="G111" t="s">
        <v>806</v>
      </c>
      <c r="L111" t="s">
        <v>807</v>
      </c>
      <c r="M111" t="s">
        <v>808</v>
      </c>
    </row>
    <row r="112" spans="3:13">
      <c r="C112" t="s">
        <v>809</v>
      </c>
      <c r="E112" t="s">
        <v>810</v>
      </c>
      <c r="G112" t="s">
        <v>811</v>
      </c>
      <c r="L112" t="s">
        <v>812</v>
      </c>
      <c r="M112" t="s">
        <v>437</v>
      </c>
    </row>
    <row r="113" spans="3:13">
      <c r="C113" t="s">
        <v>813</v>
      </c>
      <c r="E113" t="s">
        <v>814</v>
      </c>
      <c r="G113" t="s">
        <v>815</v>
      </c>
      <c r="L113" t="s">
        <v>816</v>
      </c>
      <c r="M113" t="s">
        <v>817</v>
      </c>
    </row>
    <row r="114" spans="3:13">
      <c r="C114" t="s">
        <v>818</v>
      </c>
      <c r="E114" t="s">
        <v>819</v>
      </c>
      <c r="G114" t="s">
        <v>820</v>
      </c>
      <c r="L114" t="s">
        <v>821</v>
      </c>
      <c r="M114" t="s">
        <v>822</v>
      </c>
    </row>
    <row r="115" spans="3:13">
      <c r="C115" t="s">
        <v>823</v>
      </c>
      <c r="E115" t="s">
        <v>824</v>
      </c>
      <c r="G115" t="s">
        <v>825</v>
      </c>
      <c r="L115" t="s">
        <v>826</v>
      </c>
      <c r="M115" t="s">
        <v>827</v>
      </c>
    </row>
    <row r="116" spans="3:13">
      <c r="C116" t="s">
        <v>828</v>
      </c>
      <c r="E116" t="s">
        <v>829</v>
      </c>
      <c r="G116" t="s">
        <v>830</v>
      </c>
      <c r="L116" t="s">
        <v>831</v>
      </c>
      <c r="M116" t="s">
        <v>832</v>
      </c>
    </row>
    <row r="117" spans="3:13">
      <c r="C117" t="s">
        <v>833</v>
      </c>
      <c r="E117" t="s">
        <v>834</v>
      </c>
      <c r="G117" t="s">
        <v>835</v>
      </c>
      <c r="L117" t="s">
        <v>836</v>
      </c>
      <c r="M117" t="s">
        <v>837</v>
      </c>
    </row>
    <row r="118" spans="3:13">
      <c r="C118" t="s">
        <v>496</v>
      </c>
      <c r="E118" t="s">
        <v>838</v>
      </c>
      <c r="G118" t="s">
        <v>839</v>
      </c>
      <c r="L118" t="s">
        <v>840</v>
      </c>
      <c r="M118" t="s">
        <v>841</v>
      </c>
    </row>
    <row r="119" spans="3:13">
      <c r="C119" t="s">
        <v>470</v>
      </c>
      <c r="E119" t="s">
        <v>842</v>
      </c>
      <c r="G119" t="s">
        <v>843</v>
      </c>
      <c r="L119" t="s">
        <v>844</v>
      </c>
      <c r="M119" t="s">
        <v>845</v>
      </c>
    </row>
    <row r="120" spans="3:13">
      <c r="C120" t="s">
        <v>846</v>
      </c>
      <c r="E120" t="s">
        <v>847</v>
      </c>
      <c r="G120" t="s">
        <v>848</v>
      </c>
      <c r="L120" t="s">
        <v>849</v>
      </c>
      <c r="M120" t="s">
        <v>850</v>
      </c>
    </row>
    <row r="121" spans="3:13">
      <c r="C121" t="s">
        <v>851</v>
      </c>
      <c r="E121" t="s">
        <v>852</v>
      </c>
      <c r="G121" t="s">
        <v>853</v>
      </c>
      <c r="L121" t="s">
        <v>854</v>
      </c>
      <c r="M121" t="s">
        <v>855</v>
      </c>
    </row>
    <row r="122" spans="3:13">
      <c r="C122" t="s">
        <v>856</v>
      </c>
      <c r="E122" t="s">
        <v>857</v>
      </c>
      <c r="G122" t="s">
        <v>858</v>
      </c>
      <c r="L122" t="s">
        <v>859</v>
      </c>
      <c r="M122" t="s">
        <v>83</v>
      </c>
    </row>
    <row r="123" spans="3:13">
      <c r="C123" t="s">
        <v>860</v>
      </c>
      <c r="E123" t="s">
        <v>861</v>
      </c>
      <c r="G123" t="s">
        <v>862</v>
      </c>
      <c r="L123" t="s">
        <v>863</v>
      </c>
      <c r="M123" t="s">
        <v>864</v>
      </c>
    </row>
    <row r="124" spans="3:13">
      <c r="C124" t="s">
        <v>860</v>
      </c>
      <c r="E124" t="s">
        <v>865</v>
      </c>
      <c r="G124" t="s">
        <v>866</v>
      </c>
      <c r="L124" t="s">
        <v>867</v>
      </c>
      <c r="M124" t="s">
        <v>868</v>
      </c>
    </row>
    <row r="125" spans="3:13">
      <c r="C125" t="s">
        <v>869</v>
      </c>
      <c r="E125" t="s">
        <v>870</v>
      </c>
      <c r="G125" t="s">
        <v>871</v>
      </c>
      <c r="L125" t="s">
        <v>872</v>
      </c>
      <c r="M125" t="s">
        <v>873</v>
      </c>
    </row>
    <row r="126" spans="3:13">
      <c r="C126" t="s">
        <v>874</v>
      </c>
      <c r="E126" t="s">
        <v>875</v>
      </c>
      <c r="G126" t="s">
        <v>876</v>
      </c>
      <c r="L126" t="s">
        <v>877</v>
      </c>
      <c r="M126" t="s">
        <v>878</v>
      </c>
    </row>
    <row r="127" spans="3:13">
      <c r="C127" t="s">
        <v>879</v>
      </c>
      <c r="E127" t="s">
        <v>880</v>
      </c>
      <c r="G127" t="s">
        <v>881</v>
      </c>
      <c r="L127" t="s">
        <v>882</v>
      </c>
      <c r="M127" t="s">
        <v>883</v>
      </c>
    </row>
    <row r="128" spans="3:13">
      <c r="C128" t="s">
        <v>884</v>
      </c>
      <c r="E128" t="s">
        <v>885</v>
      </c>
      <c r="G128" t="s">
        <v>886</v>
      </c>
      <c r="L128" t="s">
        <v>887</v>
      </c>
      <c r="M128" t="s">
        <v>888</v>
      </c>
    </row>
    <row r="129" spans="3:13">
      <c r="C129" t="s">
        <v>889</v>
      </c>
      <c r="E129" t="s">
        <v>890</v>
      </c>
      <c r="G129" t="s">
        <v>891</v>
      </c>
      <c r="L129" t="s">
        <v>892</v>
      </c>
      <c r="M129" t="s">
        <v>893</v>
      </c>
    </row>
    <row r="130" spans="3:13">
      <c r="C130" t="s">
        <v>894</v>
      </c>
      <c r="E130" t="s">
        <v>895</v>
      </c>
      <c r="G130" t="s">
        <v>896</v>
      </c>
      <c r="L130" t="s">
        <v>897</v>
      </c>
      <c r="M130" t="s">
        <v>898</v>
      </c>
    </row>
    <row r="131" spans="3:13">
      <c r="C131" t="s">
        <v>899</v>
      </c>
      <c r="E131" t="s">
        <v>900</v>
      </c>
      <c r="G131" t="s">
        <v>901</v>
      </c>
      <c r="L131" t="s">
        <v>902</v>
      </c>
      <c r="M131" t="s">
        <v>304</v>
      </c>
    </row>
    <row r="132" spans="3:13">
      <c r="C132" t="s">
        <v>903</v>
      </c>
      <c r="E132" t="s">
        <v>904</v>
      </c>
      <c r="G132" t="s">
        <v>905</v>
      </c>
      <c r="L132" t="s">
        <v>906</v>
      </c>
      <c r="M132" t="s">
        <v>907</v>
      </c>
    </row>
    <row r="133" spans="3:13">
      <c r="C133" t="s">
        <v>908</v>
      </c>
      <c r="E133" t="s">
        <v>909</v>
      </c>
      <c r="G133" t="s">
        <v>910</v>
      </c>
      <c r="L133" t="s">
        <v>911</v>
      </c>
      <c r="M133" t="s">
        <v>912</v>
      </c>
    </row>
    <row r="134" spans="3:13">
      <c r="C134" t="s">
        <v>913</v>
      </c>
      <c r="E134" t="s">
        <v>914</v>
      </c>
      <c r="G134" t="s">
        <v>915</v>
      </c>
      <c r="L134" t="s">
        <v>916</v>
      </c>
      <c r="M134" t="s">
        <v>917</v>
      </c>
    </row>
    <row r="135" spans="3:13">
      <c r="C135" t="s">
        <v>918</v>
      </c>
      <c r="E135" t="s">
        <v>919</v>
      </c>
      <c r="G135" t="s">
        <v>920</v>
      </c>
      <c r="L135" t="s">
        <v>921</v>
      </c>
      <c r="M135" t="s">
        <v>922</v>
      </c>
    </row>
    <row r="136" spans="3:13">
      <c r="C136" t="s">
        <v>923</v>
      </c>
      <c r="E136" t="s">
        <v>924</v>
      </c>
      <c r="G136" t="s">
        <v>925</v>
      </c>
      <c r="L136" t="s">
        <v>926</v>
      </c>
      <c r="M136" t="s">
        <v>927</v>
      </c>
    </row>
    <row r="137" spans="3:13">
      <c r="C137" t="s">
        <v>928</v>
      </c>
      <c r="E137" t="s">
        <v>929</v>
      </c>
      <c r="G137" t="s">
        <v>930</v>
      </c>
      <c r="L137" t="s">
        <v>931</v>
      </c>
      <c r="M137" t="s">
        <v>932</v>
      </c>
    </row>
    <row r="138" spans="3:13">
      <c r="C138" t="s">
        <v>933</v>
      </c>
      <c r="E138" t="s">
        <v>934</v>
      </c>
      <c r="G138" t="s">
        <v>876</v>
      </c>
      <c r="L138" t="s">
        <v>935</v>
      </c>
      <c r="M138" t="s">
        <v>936</v>
      </c>
    </row>
    <row r="139" spans="3:13">
      <c r="C139" t="s">
        <v>937</v>
      </c>
      <c r="E139" t="s">
        <v>938</v>
      </c>
      <c r="G139" t="s">
        <v>939</v>
      </c>
      <c r="L139" t="s">
        <v>940</v>
      </c>
      <c r="M139" t="s">
        <v>941</v>
      </c>
    </row>
    <row r="140" spans="3:13">
      <c r="C140" t="s">
        <v>942</v>
      </c>
      <c r="E140" t="s">
        <v>943</v>
      </c>
      <c r="G140" t="s">
        <v>944</v>
      </c>
      <c r="L140" t="s">
        <v>945</v>
      </c>
      <c r="M140" t="s">
        <v>946</v>
      </c>
    </row>
    <row r="141" spans="3:13">
      <c r="C141" t="s">
        <v>947</v>
      </c>
      <c r="E141" t="s">
        <v>948</v>
      </c>
      <c r="G141" t="s">
        <v>949</v>
      </c>
      <c r="L141" t="s">
        <v>950</v>
      </c>
      <c r="M141" t="s">
        <v>951</v>
      </c>
    </row>
    <row r="142" spans="3:13">
      <c r="C142" t="s">
        <v>952</v>
      </c>
      <c r="E142" t="s">
        <v>953</v>
      </c>
      <c r="G142" t="s">
        <v>954</v>
      </c>
      <c r="L142" t="s">
        <v>955</v>
      </c>
      <c r="M142" t="s">
        <v>956</v>
      </c>
    </row>
    <row r="143" spans="3:13">
      <c r="C143" t="s">
        <v>957</v>
      </c>
      <c r="E143" t="s">
        <v>958</v>
      </c>
      <c r="G143" t="s">
        <v>959</v>
      </c>
      <c r="L143" t="s">
        <v>960</v>
      </c>
      <c r="M143" t="s">
        <v>961</v>
      </c>
    </row>
    <row r="144" spans="3:13">
      <c r="C144" t="s">
        <v>962</v>
      </c>
      <c r="E144" t="s">
        <v>963</v>
      </c>
      <c r="G144" t="s">
        <v>964</v>
      </c>
      <c r="L144" t="s">
        <v>965</v>
      </c>
      <c r="M144" t="s">
        <v>101</v>
      </c>
    </row>
    <row r="145" spans="3:13">
      <c r="C145" t="s">
        <v>966</v>
      </c>
      <c r="E145" t="s">
        <v>967</v>
      </c>
      <c r="G145" t="s">
        <v>968</v>
      </c>
      <c r="L145" t="s">
        <v>969</v>
      </c>
      <c r="M145" t="s">
        <v>970</v>
      </c>
    </row>
    <row r="146" spans="3:13">
      <c r="C146" t="s">
        <v>971</v>
      </c>
      <c r="E146" t="s">
        <v>972</v>
      </c>
      <c r="G146" t="s">
        <v>973</v>
      </c>
      <c r="L146" t="s">
        <v>974</v>
      </c>
      <c r="M146" t="s">
        <v>252</v>
      </c>
    </row>
    <row r="147" spans="3:13">
      <c r="C147" t="s">
        <v>975</v>
      </c>
      <c r="E147" t="s">
        <v>976</v>
      </c>
      <c r="G147" t="s">
        <v>977</v>
      </c>
      <c r="L147" t="s">
        <v>978</v>
      </c>
      <c r="M147" t="s">
        <v>979</v>
      </c>
    </row>
    <row r="148" spans="3:13">
      <c r="C148" t="s">
        <v>980</v>
      </c>
      <c r="E148" t="s">
        <v>981</v>
      </c>
      <c r="G148" t="s">
        <v>982</v>
      </c>
      <c r="L148" t="s">
        <v>983</v>
      </c>
      <c r="M148" t="s">
        <v>984</v>
      </c>
    </row>
    <row r="149" spans="3:13">
      <c r="C149" t="s">
        <v>985</v>
      </c>
      <c r="E149" t="s">
        <v>986</v>
      </c>
      <c r="G149" t="s">
        <v>987</v>
      </c>
      <c r="L149" t="s">
        <v>988</v>
      </c>
      <c r="M149" t="s">
        <v>989</v>
      </c>
    </row>
    <row r="150" spans="3:13">
      <c r="C150" t="s">
        <v>990</v>
      </c>
      <c r="E150" t="s">
        <v>991</v>
      </c>
      <c r="G150" t="s">
        <v>992</v>
      </c>
      <c r="L150" t="s">
        <v>993</v>
      </c>
      <c r="M150" t="s">
        <v>994</v>
      </c>
    </row>
    <row r="151" spans="3:13">
      <c r="C151" t="s">
        <v>995</v>
      </c>
      <c r="E151" t="s">
        <v>996</v>
      </c>
      <c r="G151" t="s">
        <v>997</v>
      </c>
      <c r="L151" t="s">
        <v>998</v>
      </c>
      <c r="M151" t="s">
        <v>999</v>
      </c>
    </row>
    <row r="152" spans="3:13">
      <c r="C152" t="s">
        <v>1000</v>
      </c>
      <c r="E152" t="s">
        <v>1001</v>
      </c>
      <c r="G152" t="s">
        <v>1002</v>
      </c>
      <c r="L152" t="s">
        <v>1003</v>
      </c>
      <c r="M152" t="s">
        <v>1004</v>
      </c>
    </row>
    <row r="153" spans="3:13">
      <c r="C153" t="s">
        <v>1005</v>
      </c>
      <c r="E153" t="s">
        <v>1006</v>
      </c>
      <c r="G153" t="s">
        <v>1007</v>
      </c>
      <c r="L153" t="s">
        <v>1008</v>
      </c>
      <c r="M153" t="s">
        <v>1009</v>
      </c>
    </row>
    <row r="154" spans="3:13">
      <c r="C154" t="s">
        <v>1010</v>
      </c>
      <c r="E154" t="s">
        <v>1011</v>
      </c>
      <c r="G154" t="s">
        <v>1007</v>
      </c>
      <c r="L154" t="s">
        <v>1012</v>
      </c>
      <c r="M154" t="s">
        <v>1013</v>
      </c>
    </row>
    <row r="155" spans="3:13">
      <c r="C155" t="s">
        <v>1014</v>
      </c>
      <c r="E155" t="s">
        <v>1015</v>
      </c>
      <c r="G155" t="s">
        <v>1016</v>
      </c>
      <c r="L155" t="s">
        <v>1017</v>
      </c>
      <c r="M155" t="s">
        <v>1018</v>
      </c>
    </row>
    <row r="156" spans="3:13">
      <c r="C156" t="s">
        <v>1019</v>
      </c>
      <c r="E156" t="s">
        <v>1020</v>
      </c>
      <c r="G156" t="s">
        <v>1021</v>
      </c>
      <c r="L156" t="s">
        <v>1022</v>
      </c>
      <c r="M156" t="s">
        <v>481</v>
      </c>
    </row>
    <row r="157" spans="3:13">
      <c r="C157" t="s">
        <v>1023</v>
      </c>
      <c r="E157" t="s">
        <v>1024</v>
      </c>
      <c r="G157" t="s">
        <v>1025</v>
      </c>
      <c r="L157" t="s">
        <v>1026</v>
      </c>
      <c r="M157" t="s">
        <v>1027</v>
      </c>
    </row>
    <row r="158" spans="3:13">
      <c r="C158" t="s">
        <v>1028</v>
      </c>
      <c r="E158" t="s">
        <v>1029</v>
      </c>
      <c r="G158" t="s">
        <v>1030</v>
      </c>
      <c r="L158" t="s">
        <v>1031</v>
      </c>
      <c r="M158" t="s">
        <v>989</v>
      </c>
    </row>
    <row r="159" spans="3:13">
      <c r="C159" t="s">
        <v>1032</v>
      </c>
      <c r="E159" t="s">
        <v>1033</v>
      </c>
      <c r="G159" t="s">
        <v>1034</v>
      </c>
      <c r="L159" t="s">
        <v>1035</v>
      </c>
      <c r="M159" t="s">
        <v>243</v>
      </c>
    </row>
    <row r="160" spans="3:13">
      <c r="C160" t="s">
        <v>1036</v>
      </c>
      <c r="E160" t="s">
        <v>1037</v>
      </c>
      <c r="G160" t="s">
        <v>1038</v>
      </c>
      <c r="L160" t="s">
        <v>1039</v>
      </c>
      <c r="M160" t="s">
        <v>1040</v>
      </c>
    </row>
    <row r="161" spans="3:13">
      <c r="C161" t="s">
        <v>1041</v>
      </c>
      <c r="E161" t="s">
        <v>1042</v>
      </c>
      <c r="G161" t="s">
        <v>1043</v>
      </c>
      <c r="L161" t="s">
        <v>1044</v>
      </c>
      <c r="M161" t="s">
        <v>110</v>
      </c>
    </row>
    <row r="162" spans="3:13">
      <c r="C162" s="7" t="s">
        <v>1045</v>
      </c>
      <c r="E162" t="s">
        <v>1046</v>
      </c>
      <c r="G162" t="s">
        <v>1047</v>
      </c>
      <c r="L162" t="s">
        <v>1048</v>
      </c>
      <c r="M162" t="s">
        <v>1049</v>
      </c>
    </row>
    <row r="163" spans="3:13">
      <c r="C163" s="7" t="s">
        <v>1050</v>
      </c>
      <c r="E163" t="s">
        <v>1051</v>
      </c>
      <c r="G163" t="s">
        <v>1038</v>
      </c>
      <c r="L163" t="s">
        <v>1052</v>
      </c>
      <c r="M163" t="s">
        <v>1053</v>
      </c>
    </row>
    <row r="164" spans="3:13">
      <c r="C164" s="7" t="s">
        <v>1054</v>
      </c>
      <c r="E164" t="s">
        <v>1055</v>
      </c>
      <c r="G164" t="s">
        <v>1056</v>
      </c>
      <c r="L164" t="s">
        <v>1057</v>
      </c>
      <c r="M164" t="s">
        <v>1058</v>
      </c>
    </row>
    <row r="165" spans="3:13">
      <c r="C165" s="7" t="s">
        <v>1059</v>
      </c>
      <c r="E165" t="s">
        <v>1060</v>
      </c>
      <c r="G165" t="s">
        <v>1061</v>
      </c>
      <c r="L165" t="s">
        <v>1062</v>
      </c>
      <c r="M165" t="s">
        <v>1063</v>
      </c>
    </row>
    <row r="166" spans="3:13">
      <c r="C166" t="s">
        <v>1064</v>
      </c>
      <c r="E166" t="s">
        <v>1065</v>
      </c>
      <c r="G166" t="s">
        <v>1066</v>
      </c>
      <c r="L166" t="s">
        <v>1067</v>
      </c>
      <c r="M166" t="s">
        <v>1068</v>
      </c>
    </row>
    <row r="167" spans="3:13">
      <c r="C167" t="s">
        <v>1069</v>
      </c>
      <c r="E167" t="s">
        <v>1070</v>
      </c>
      <c r="G167" t="s">
        <v>1071</v>
      </c>
      <c r="L167" t="s">
        <v>1072</v>
      </c>
      <c r="M167" t="s">
        <v>1073</v>
      </c>
    </row>
    <row r="168" spans="3:13">
      <c r="C168" t="s">
        <v>1074</v>
      </c>
      <c r="E168" t="s">
        <v>1075</v>
      </c>
      <c r="G168" t="s">
        <v>1076</v>
      </c>
      <c r="L168" t="s">
        <v>1077</v>
      </c>
      <c r="M168" t="s">
        <v>227</v>
      </c>
    </row>
    <row r="169" spans="3:13">
      <c r="C169" t="s">
        <v>1078</v>
      </c>
      <c r="E169" t="s">
        <v>1079</v>
      </c>
      <c r="G169" t="s">
        <v>1080</v>
      </c>
      <c r="L169" t="s">
        <v>1081</v>
      </c>
      <c r="M169" t="s">
        <v>1082</v>
      </c>
    </row>
    <row r="170" spans="3:13">
      <c r="C170" t="s">
        <v>1083</v>
      </c>
      <c r="E170" t="s">
        <v>1084</v>
      </c>
      <c r="G170" t="s">
        <v>1085</v>
      </c>
      <c r="L170" t="s">
        <v>431</v>
      </c>
      <c r="M170" t="s">
        <v>128</v>
      </c>
    </row>
    <row r="171" spans="3:13">
      <c r="C171" t="s">
        <v>1086</v>
      </c>
      <c r="E171" t="s">
        <v>1087</v>
      </c>
      <c r="G171" t="s">
        <v>1088</v>
      </c>
      <c r="L171" t="s">
        <v>1089</v>
      </c>
      <c r="M171" t="s">
        <v>1090</v>
      </c>
    </row>
    <row r="172" spans="3:13">
      <c r="C172" t="s">
        <v>1091</v>
      </c>
      <c r="E172" t="s">
        <v>1092</v>
      </c>
      <c r="G172" t="s">
        <v>1093</v>
      </c>
      <c r="L172" t="s">
        <v>1094</v>
      </c>
      <c r="M172" t="s">
        <v>1095</v>
      </c>
    </row>
    <row r="173" spans="3:13">
      <c r="C173" t="s">
        <v>1096</v>
      </c>
      <c r="E173" t="s">
        <v>1097</v>
      </c>
      <c r="G173" t="s">
        <v>1098</v>
      </c>
      <c r="L173" t="s">
        <v>1099</v>
      </c>
      <c r="M173" t="s">
        <v>1100</v>
      </c>
    </row>
    <row r="174" spans="3:13">
      <c r="C174" t="s">
        <v>1101</v>
      </c>
      <c r="E174" t="s">
        <v>1102</v>
      </c>
      <c r="G174" t="s">
        <v>1103</v>
      </c>
      <c r="L174" t="s">
        <v>1104</v>
      </c>
      <c r="M174" t="s">
        <v>1105</v>
      </c>
    </row>
    <row r="175" spans="3:13">
      <c r="C175" t="s">
        <v>1106</v>
      </c>
      <c r="E175" t="s">
        <v>1107</v>
      </c>
      <c r="G175" t="s">
        <v>1108</v>
      </c>
      <c r="L175" t="s">
        <v>1109</v>
      </c>
      <c r="M175" t="s">
        <v>1110</v>
      </c>
    </row>
    <row r="176" spans="3:13">
      <c r="C176" t="s">
        <v>1111</v>
      </c>
      <c r="E176" t="s">
        <v>1112</v>
      </c>
      <c r="G176" t="s">
        <v>1113</v>
      </c>
      <c r="L176" t="s">
        <v>1114</v>
      </c>
      <c r="M176" t="s">
        <v>1115</v>
      </c>
    </row>
    <row r="177" spans="3:13">
      <c r="C177" t="s">
        <v>1116</v>
      </c>
      <c r="E177" t="s">
        <v>1117</v>
      </c>
      <c r="G177" t="s">
        <v>1118</v>
      </c>
      <c r="L177" t="s">
        <v>1119</v>
      </c>
      <c r="M177" t="s">
        <v>1120</v>
      </c>
    </row>
    <row r="178" spans="3:13">
      <c r="C178" t="s">
        <v>1121</v>
      </c>
      <c r="E178" t="s">
        <v>1122</v>
      </c>
      <c r="G178" t="s">
        <v>1123</v>
      </c>
      <c r="L178" t="s">
        <v>1124</v>
      </c>
      <c r="M178" t="s">
        <v>1125</v>
      </c>
    </row>
    <row r="179" spans="3:13">
      <c r="C179" t="s">
        <v>1126</v>
      </c>
      <c r="E179" t="s">
        <v>1127</v>
      </c>
      <c r="G179" t="s">
        <v>1128</v>
      </c>
      <c r="L179" t="s">
        <v>1129</v>
      </c>
      <c r="M179" t="s">
        <v>1130</v>
      </c>
    </row>
    <row r="180" spans="3:13">
      <c r="C180" t="s">
        <v>1131</v>
      </c>
      <c r="E180" t="s">
        <v>1132</v>
      </c>
      <c r="G180" t="s">
        <v>1133</v>
      </c>
      <c r="L180" t="s">
        <v>1134</v>
      </c>
      <c r="M180" t="s">
        <v>1135</v>
      </c>
    </row>
    <row r="181" spans="3:13">
      <c r="C181" t="s">
        <v>1136</v>
      </c>
      <c r="E181" t="s">
        <v>1137</v>
      </c>
      <c r="G181" t="s">
        <v>1138</v>
      </c>
      <c r="L181" t="s">
        <v>1139</v>
      </c>
      <c r="M181" t="s">
        <v>1140</v>
      </c>
    </row>
    <row r="182" spans="3:13">
      <c r="C182" t="s">
        <v>1141</v>
      </c>
      <c r="E182" t="s">
        <v>1142</v>
      </c>
      <c r="G182" t="s">
        <v>1143</v>
      </c>
      <c r="L182" t="s">
        <v>1144</v>
      </c>
      <c r="M182" t="s">
        <v>1145</v>
      </c>
    </row>
    <row r="183" spans="3:13">
      <c r="C183" t="s">
        <v>1146</v>
      </c>
      <c r="E183" t="s">
        <v>1147</v>
      </c>
      <c r="G183" t="s">
        <v>1148</v>
      </c>
      <c r="L183" t="s">
        <v>1149</v>
      </c>
      <c r="M183" t="s">
        <v>1150</v>
      </c>
    </row>
    <row r="184" spans="3:13">
      <c r="C184" t="s">
        <v>1151</v>
      </c>
      <c r="E184" t="s">
        <v>1152</v>
      </c>
      <c r="G184" t="s">
        <v>1153</v>
      </c>
      <c r="L184" t="s">
        <v>1154</v>
      </c>
      <c r="M184" t="s">
        <v>1155</v>
      </c>
    </row>
    <row r="185" spans="3:13">
      <c r="C185" t="s">
        <v>1156</v>
      </c>
      <c r="E185" t="s">
        <v>1157</v>
      </c>
      <c r="G185" t="s">
        <v>1158</v>
      </c>
      <c r="L185" t="s">
        <v>1159</v>
      </c>
      <c r="M185" t="s">
        <v>1160</v>
      </c>
    </row>
    <row r="186" spans="3:13">
      <c r="C186" t="s">
        <v>1161</v>
      </c>
      <c r="E186" t="s">
        <v>1162</v>
      </c>
      <c r="G186" t="s">
        <v>1163</v>
      </c>
      <c r="L186" t="s">
        <v>1164</v>
      </c>
      <c r="M186" t="s">
        <v>287</v>
      </c>
    </row>
    <row r="187" spans="3:13">
      <c r="C187" t="s">
        <v>1165</v>
      </c>
      <c r="E187" t="s">
        <v>1166</v>
      </c>
      <c r="G187" t="s">
        <v>1167</v>
      </c>
      <c r="L187" t="s">
        <v>1168</v>
      </c>
      <c r="M187" t="s">
        <v>1169</v>
      </c>
    </row>
    <row r="188" spans="3:13">
      <c r="C188" t="s">
        <v>1170</v>
      </c>
      <c r="E188" t="s">
        <v>1171</v>
      </c>
      <c r="G188" t="s">
        <v>1172</v>
      </c>
      <c r="L188" t="s">
        <v>1173</v>
      </c>
      <c r="M188" t="s">
        <v>410</v>
      </c>
    </row>
    <row r="189" spans="3:13">
      <c r="C189" t="s">
        <v>1174</v>
      </c>
      <c r="E189" t="s">
        <v>1175</v>
      </c>
      <c r="G189" t="s">
        <v>1176</v>
      </c>
      <c r="L189" t="s">
        <v>1177</v>
      </c>
      <c r="M189" t="s">
        <v>1178</v>
      </c>
    </row>
    <row r="190" spans="3:13">
      <c r="C190" t="s">
        <v>1179</v>
      </c>
      <c r="E190" t="s">
        <v>1180</v>
      </c>
      <c r="G190" t="s">
        <v>1181</v>
      </c>
      <c r="L190" t="s">
        <v>1182</v>
      </c>
      <c r="M190" t="s">
        <v>1183</v>
      </c>
    </row>
    <row r="191" spans="3:13">
      <c r="C191" t="s">
        <v>1184</v>
      </c>
      <c r="E191" t="s">
        <v>1185</v>
      </c>
      <c r="G191" t="s">
        <v>1186</v>
      </c>
      <c r="L191" t="s">
        <v>1187</v>
      </c>
      <c r="M191" t="s">
        <v>1188</v>
      </c>
    </row>
    <row r="192" spans="3:13">
      <c r="C192" t="s">
        <v>1189</v>
      </c>
      <c r="E192" t="s">
        <v>1190</v>
      </c>
      <c r="G192" t="s">
        <v>1191</v>
      </c>
      <c r="L192" t="s">
        <v>1192</v>
      </c>
      <c r="M192" t="s">
        <v>1193</v>
      </c>
    </row>
    <row r="193" spans="3:13">
      <c r="C193" t="s">
        <v>1194</v>
      </c>
      <c r="E193" t="s">
        <v>1195</v>
      </c>
      <c r="G193" t="s">
        <v>1196</v>
      </c>
      <c r="L193" t="s">
        <v>1197</v>
      </c>
      <c r="M193" t="s">
        <v>1198</v>
      </c>
    </row>
    <row r="194" spans="3:13">
      <c r="C194" t="s">
        <v>1199</v>
      </c>
      <c r="E194" t="s">
        <v>1200</v>
      </c>
      <c r="G194" t="s">
        <v>1201</v>
      </c>
      <c r="L194" t="s">
        <v>1202</v>
      </c>
      <c r="M194" t="s">
        <v>1203</v>
      </c>
    </row>
    <row r="195" spans="3:13">
      <c r="C195" t="s">
        <v>1204</v>
      </c>
      <c r="E195" t="s">
        <v>1205</v>
      </c>
      <c r="G195" t="s">
        <v>1206</v>
      </c>
      <c r="L195" t="s">
        <v>1207</v>
      </c>
      <c r="M195" t="s">
        <v>1208</v>
      </c>
    </row>
    <row r="196" spans="3:13">
      <c r="C196" t="s">
        <v>1209</v>
      </c>
      <c r="E196" t="s">
        <v>1210</v>
      </c>
      <c r="G196" t="s">
        <v>1211</v>
      </c>
      <c r="L196" t="s">
        <v>1212</v>
      </c>
      <c r="M196" t="s">
        <v>1213</v>
      </c>
    </row>
    <row r="197" spans="3:13">
      <c r="C197" t="s">
        <v>1214</v>
      </c>
      <c r="E197" t="s">
        <v>1215</v>
      </c>
      <c r="G197" t="s">
        <v>1216</v>
      </c>
      <c r="L197" t="s">
        <v>1217</v>
      </c>
      <c r="M197" t="s">
        <v>1218</v>
      </c>
    </row>
    <row r="198" spans="3:13">
      <c r="C198" t="s">
        <v>1219</v>
      </c>
      <c r="E198" t="s">
        <v>1220</v>
      </c>
      <c r="G198" t="s">
        <v>1221</v>
      </c>
      <c r="L198" t="s">
        <v>1222</v>
      </c>
      <c r="M198" t="s">
        <v>1223</v>
      </c>
    </row>
    <row r="199" spans="3:13">
      <c r="C199" t="s">
        <v>1224</v>
      </c>
      <c r="E199" t="s">
        <v>1225</v>
      </c>
      <c r="G199" t="s">
        <v>1226</v>
      </c>
      <c r="L199" t="s">
        <v>1227</v>
      </c>
      <c r="M199" t="s">
        <v>1228</v>
      </c>
    </row>
    <row r="200" spans="5:13">
      <c r="E200" t="s">
        <v>1229</v>
      </c>
      <c r="G200" t="s">
        <v>1230</v>
      </c>
      <c r="L200" t="s">
        <v>1231</v>
      </c>
      <c r="M200" t="s">
        <v>1232</v>
      </c>
    </row>
    <row r="201" spans="5:13">
      <c r="E201" t="s">
        <v>1233</v>
      </c>
      <c r="G201" t="s">
        <v>1234</v>
      </c>
      <c r="L201" t="s">
        <v>1235</v>
      </c>
      <c r="M201" t="s">
        <v>1236</v>
      </c>
    </row>
    <row r="202" spans="5:13">
      <c r="E202" t="s">
        <v>1237</v>
      </c>
      <c r="G202" t="s">
        <v>1238</v>
      </c>
      <c r="L202" t="s">
        <v>1239</v>
      </c>
      <c r="M202" t="s">
        <v>1240</v>
      </c>
    </row>
    <row r="203" spans="5:13">
      <c r="E203" t="s">
        <v>1241</v>
      </c>
      <c r="G203" t="s">
        <v>1242</v>
      </c>
      <c r="L203" t="s">
        <v>1243</v>
      </c>
      <c r="M203" t="s">
        <v>1244</v>
      </c>
    </row>
    <row r="204" spans="5:13">
      <c r="E204" t="s">
        <v>1245</v>
      </c>
      <c r="G204" t="s">
        <v>1246</v>
      </c>
      <c r="L204" t="s">
        <v>1247</v>
      </c>
      <c r="M204" t="s">
        <v>1248</v>
      </c>
    </row>
    <row r="205" spans="5:13">
      <c r="E205" t="s">
        <v>1249</v>
      </c>
      <c r="G205" t="s">
        <v>1250</v>
      </c>
      <c r="L205" t="s">
        <v>1251</v>
      </c>
      <c r="M205" t="s">
        <v>1252</v>
      </c>
    </row>
    <row r="206" spans="5:13">
      <c r="E206" t="s">
        <v>1253</v>
      </c>
      <c r="G206" t="s">
        <v>1254</v>
      </c>
      <c r="L206" t="s">
        <v>1255</v>
      </c>
      <c r="M206" t="s">
        <v>1256</v>
      </c>
    </row>
    <row r="207" spans="5:13">
      <c r="E207" t="s">
        <v>1257</v>
      </c>
      <c r="G207" t="s">
        <v>1258</v>
      </c>
      <c r="L207" t="s">
        <v>1259</v>
      </c>
      <c r="M207" t="s">
        <v>1260</v>
      </c>
    </row>
    <row r="208" spans="5:13">
      <c r="E208" t="s">
        <v>1261</v>
      </c>
      <c r="G208" t="s">
        <v>1262</v>
      </c>
      <c r="L208" t="s">
        <v>1263</v>
      </c>
      <c r="M208" t="s">
        <v>1264</v>
      </c>
    </row>
    <row r="209" spans="5:13">
      <c r="E209" t="s">
        <v>1265</v>
      </c>
      <c r="G209" t="s">
        <v>1266</v>
      </c>
      <c r="L209" t="s">
        <v>1267</v>
      </c>
      <c r="M209" t="s">
        <v>1268</v>
      </c>
    </row>
    <row r="210" spans="5:13">
      <c r="E210" t="s">
        <v>1269</v>
      </c>
      <c r="G210" t="s">
        <v>973</v>
      </c>
      <c r="L210" t="s">
        <v>1270</v>
      </c>
      <c r="M210" t="s">
        <v>365</v>
      </c>
    </row>
    <row r="211" spans="5:13">
      <c r="E211" t="s">
        <v>1271</v>
      </c>
      <c r="G211" t="s">
        <v>1272</v>
      </c>
      <c r="L211" t="s">
        <v>1273</v>
      </c>
      <c r="M211" t="s">
        <v>1274</v>
      </c>
    </row>
    <row r="212" spans="5:13">
      <c r="E212" t="s">
        <v>1275</v>
      </c>
      <c r="G212" t="s">
        <v>1276</v>
      </c>
      <c r="L212" t="s">
        <v>1277</v>
      </c>
      <c r="M212" t="s">
        <v>1278</v>
      </c>
    </row>
    <row r="213" spans="5:13">
      <c r="E213" t="s">
        <v>1279</v>
      </c>
      <c r="G213" t="s">
        <v>1280</v>
      </c>
      <c r="L213" t="s">
        <v>1281</v>
      </c>
      <c r="M213" t="s">
        <v>1282</v>
      </c>
    </row>
    <row r="214" spans="5:13">
      <c r="E214" t="s">
        <v>1283</v>
      </c>
      <c r="G214" t="s">
        <v>1284</v>
      </c>
      <c r="L214" t="s">
        <v>1285</v>
      </c>
      <c r="M214" t="s">
        <v>1286</v>
      </c>
    </row>
    <row r="215" spans="5:13">
      <c r="E215" t="s">
        <v>1287</v>
      </c>
      <c r="G215" t="s">
        <v>1288</v>
      </c>
      <c r="L215" t="s">
        <v>1289</v>
      </c>
      <c r="M215" t="s">
        <v>1290</v>
      </c>
    </row>
    <row r="216" spans="5:13">
      <c r="E216" t="s">
        <v>1291</v>
      </c>
      <c r="G216" t="s">
        <v>1288</v>
      </c>
      <c r="L216" t="s">
        <v>1292</v>
      </c>
      <c r="M216" t="s">
        <v>1293</v>
      </c>
    </row>
    <row r="217" spans="5:13">
      <c r="E217" t="s">
        <v>1294</v>
      </c>
      <c r="G217" t="s">
        <v>1295</v>
      </c>
      <c r="L217" t="s">
        <v>1296</v>
      </c>
      <c r="M217" t="s">
        <v>1297</v>
      </c>
    </row>
    <row r="218" spans="5:13">
      <c r="E218" t="s">
        <v>1298</v>
      </c>
      <c r="G218" t="s">
        <v>1299</v>
      </c>
      <c r="L218" t="s">
        <v>1300</v>
      </c>
      <c r="M218" t="s">
        <v>1301</v>
      </c>
    </row>
    <row r="219" spans="5:13">
      <c r="E219" t="s">
        <v>1302</v>
      </c>
      <c r="G219" t="s">
        <v>1303</v>
      </c>
      <c r="L219" t="s">
        <v>1304</v>
      </c>
      <c r="M219" t="s">
        <v>1305</v>
      </c>
    </row>
    <row r="220" spans="5:13">
      <c r="E220" t="s">
        <v>1306</v>
      </c>
      <c r="G220" t="s">
        <v>1307</v>
      </c>
      <c r="L220" t="s">
        <v>1308</v>
      </c>
      <c r="M220" t="s">
        <v>1309</v>
      </c>
    </row>
    <row r="221" spans="5:13">
      <c r="E221" t="s">
        <v>1310</v>
      </c>
      <c r="G221" t="s">
        <v>1311</v>
      </c>
      <c r="L221" t="s">
        <v>1312</v>
      </c>
      <c r="M221" t="s">
        <v>1313</v>
      </c>
    </row>
    <row r="222" spans="5:13">
      <c r="E222" t="s">
        <v>1314</v>
      </c>
      <c r="G222" t="s">
        <v>1315</v>
      </c>
      <c r="L222" t="s">
        <v>1316</v>
      </c>
      <c r="M222" t="s">
        <v>1317</v>
      </c>
    </row>
    <row r="223" spans="5:13">
      <c r="E223" t="s">
        <v>1318</v>
      </c>
      <c r="G223" t="s">
        <v>1319</v>
      </c>
      <c r="L223" t="s">
        <v>1320</v>
      </c>
      <c r="M223" t="s">
        <v>1321</v>
      </c>
    </row>
    <row r="224" spans="5:13">
      <c r="E224" t="s">
        <v>1322</v>
      </c>
      <c r="G224" t="s">
        <v>1323</v>
      </c>
      <c r="L224" t="s">
        <v>1324</v>
      </c>
      <c r="M224" t="s">
        <v>1325</v>
      </c>
    </row>
    <row r="225" spans="5:13">
      <c r="E225" t="s">
        <v>1326</v>
      </c>
      <c r="G225" t="s">
        <v>1327</v>
      </c>
      <c r="L225" t="s">
        <v>595</v>
      </c>
      <c r="M225" t="s">
        <v>596</v>
      </c>
    </row>
    <row r="226" spans="5:13">
      <c r="E226" t="s">
        <v>1328</v>
      </c>
      <c r="G226" t="s">
        <v>1329</v>
      </c>
      <c r="L226" t="s">
        <v>1330</v>
      </c>
      <c r="M226" t="s">
        <v>283</v>
      </c>
    </row>
    <row r="227" spans="5:7">
      <c r="E227" t="s">
        <v>1331</v>
      </c>
      <c r="G227" t="s">
        <v>1332</v>
      </c>
    </row>
    <row r="228" spans="5:7">
      <c r="E228" t="s">
        <v>1333</v>
      </c>
      <c r="G228" t="s">
        <v>1334</v>
      </c>
    </row>
    <row r="229" spans="5:7">
      <c r="E229" t="s">
        <v>1335</v>
      </c>
      <c r="G229" t="s">
        <v>1336</v>
      </c>
    </row>
    <row r="230" spans="5:7">
      <c r="E230" t="s">
        <v>1337</v>
      </c>
      <c r="G230" t="s">
        <v>1338</v>
      </c>
    </row>
    <row r="231" spans="5:7">
      <c r="E231" t="s">
        <v>1339</v>
      </c>
      <c r="G231" t="s">
        <v>1340</v>
      </c>
    </row>
    <row r="232" spans="5:7">
      <c r="E232" t="s">
        <v>1341</v>
      </c>
      <c r="G232" t="s">
        <v>1342</v>
      </c>
    </row>
    <row r="233" spans="5:7">
      <c r="E233" t="s">
        <v>1343</v>
      </c>
      <c r="G233" t="s">
        <v>1344</v>
      </c>
    </row>
    <row r="234" spans="5:7">
      <c r="E234" t="s">
        <v>1345</v>
      </c>
      <c r="G234" t="s">
        <v>1346</v>
      </c>
    </row>
    <row r="235" spans="5:7">
      <c r="E235" t="s">
        <v>1347</v>
      </c>
      <c r="G235" t="s">
        <v>1348</v>
      </c>
    </row>
    <row r="236" spans="5:7">
      <c r="E236" t="s">
        <v>1349</v>
      </c>
      <c r="G236" t="s">
        <v>1350</v>
      </c>
    </row>
    <row r="237" spans="5:7">
      <c r="E237" t="s">
        <v>1351</v>
      </c>
      <c r="G237" t="s">
        <v>1352</v>
      </c>
    </row>
    <row r="238" spans="5:7">
      <c r="E238" t="s">
        <v>1353</v>
      </c>
      <c r="G238" t="s">
        <v>1354</v>
      </c>
    </row>
    <row r="239" spans="5:7">
      <c r="E239" t="s">
        <v>1355</v>
      </c>
      <c r="G239" t="s">
        <v>1356</v>
      </c>
    </row>
    <row r="240" spans="5:7">
      <c r="E240" t="s">
        <v>1357</v>
      </c>
      <c r="G240" t="s">
        <v>1358</v>
      </c>
    </row>
    <row r="241" spans="5:7">
      <c r="E241" t="s">
        <v>1359</v>
      </c>
      <c r="G241" t="s">
        <v>1360</v>
      </c>
    </row>
    <row r="242" spans="5:7">
      <c r="E242" t="s">
        <v>1361</v>
      </c>
      <c r="G242" t="s">
        <v>1362</v>
      </c>
    </row>
    <row r="243" spans="5:7">
      <c r="E243" t="s">
        <v>1363</v>
      </c>
      <c r="G243" t="s">
        <v>1364</v>
      </c>
    </row>
    <row r="244" spans="5:7">
      <c r="E244" t="s">
        <v>1365</v>
      </c>
      <c r="G244" t="s">
        <v>1366</v>
      </c>
    </row>
    <row r="245" spans="5:7">
      <c r="E245" t="s">
        <v>1367</v>
      </c>
      <c r="G245" t="s">
        <v>1368</v>
      </c>
    </row>
    <row r="246" spans="5:7">
      <c r="E246" t="s">
        <v>1369</v>
      </c>
      <c r="G246" t="s">
        <v>1370</v>
      </c>
    </row>
    <row r="247" spans="5:7">
      <c r="E247" t="s">
        <v>1371</v>
      </c>
      <c r="G247" t="s">
        <v>1372</v>
      </c>
    </row>
    <row r="248" spans="5:7">
      <c r="E248" t="s">
        <v>1373</v>
      </c>
      <c r="G248" t="s">
        <v>1374</v>
      </c>
    </row>
    <row r="249" spans="5:7">
      <c r="E249" t="s">
        <v>1375</v>
      </c>
      <c r="G249" t="s">
        <v>1376</v>
      </c>
    </row>
    <row r="250" spans="5:7">
      <c r="E250" t="s">
        <v>1377</v>
      </c>
      <c r="G250" t="s">
        <v>1378</v>
      </c>
    </row>
    <row r="251" spans="5:7">
      <c r="E251" t="s">
        <v>1379</v>
      </c>
      <c r="G251" t="s">
        <v>1380</v>
      </c>
    </row>
    <row r="252" spans="5:7">
      <c r="E252" t="s">
        <v>1381</v>
      </c>
      <c r="G252" t="s">
        <v>1382</v>
      </c>
    </row>
    <row r="253" spans="5:9">
      <c r="E253" t="s">
        <v>1383</v>
      </c>
      <c r="G253" s="10" t="s">
        <v>1384</v>
      </c>
      <c r="H253" s="10"/>
      <c r="I253" s="10"/>
    </row>
    <row r="254" spans="5:9">
      <c r="E254" t="s">
        <v>1385</v>
      </c>
      <c r="G254" s="10" t="s">
        <v>1386</v>
      </c>
      <c r="H254" s="10"/>
      <c r="I254" s="10"/>
    </row>
    <row r="255" spans="5:7">
      <c r="E255" t="s">
        <v>1387</v>
      </c>
      <c r="G255" t="s">
        <v>1388</v>
      </c>
    </row>
    <row r="256" spans="5:7">
      <c r="E256" t="s">
        <v>1389</v>
      </c>
      <c r="G256" t="s">
        <v>1390</v>
      </c>
    </row>
    <row r="257" spans="5:7">
      <c r="E257" t="s">
        <v>1391</v>
      </c>
      <c r="G257" t="s">
        <v>1392</v>
      </c>
    </row>
    <row r="258" spans="5:7">
      <c r="E258" t="s">
        <v>1393</v>
      </c>
      <c r="G258" t="s">
        <v>1394</v>
      </c>
    </row>
    <row r="259" spans="5:7">
      <c r="E259" t="s">
        <v>1395</v>
      </c>
      <c r="G259" t="s">
        <v>1396</v>
      </c>
    </row>
    <row r="260" spans="5:7">
      <c r="E260" t="s">
        <v>1397</v>
      </c>
      <c r="G260" t="s">
        <v>1398</v>
      </c>
    </row>
    <row r="261" spans="5:7">
      <c r="E261" t="s">
        <v>1399</v>
      </c>
      <c r="G261" t="s">
        <v>1400</v>
      </c>
    </row>
    <row r="262" spans="5:7">
      <c r="E262" t="s">
        <v>1401</v>
      </c>
      <c r="G262" t="s">
        <v>1402</v>
      </c>
    </row>
    <row r="263" spans="5:7">
      <c r="E263" t="s">
        <v>1403</v>
      </c>
      <c r="G263" t="s">
        <v>1404</v>
      </c>
    </row>
    <row r="264" spans="5:7">
      <c r="E264" t="s">
        <v>1405</v>
      </c>
      <c r="G264" t="s">
        <v>1406</v>
      </c>
    </row>
    <row r="265" spans="5:7">
      <c r="E265" t="s">
        <v>1407</v>
      </c>
      <c r="G265" t="s">
        <v>1408</v>
      </c>
    </row>
    <row r="266" spans="5:7">
      <c r="E266" t="s">
        <v>1409</v>
      </c>
      <c r="G266" t="s">
        <v>1410</v>
      </c>
    </row>
    <row r="267" spans="5:7">
      <c r="E267" t="s">
        <v>1411</v>
      </c>
      <c r="G267" t="s">
        <v>1412</v>
      </c>
    </row>
    <row r="268" spans="5:7">
      <c r="E268" t="s">
        <v>1413</v>
      </c>
      <c r="G268" t="s">
        <v>1414</v>
      </c>
    </row>
    <row r="269" spans="5:7">
      <c r="E269" t="s">
        <v>1415</v>
      </c>
      <c r="G269" t="s">
        <v>1416</v>
      </c>
    </row>
    <row r="270" spans="5:7">
      <c r="E270" t="s">
        <v>1417</v>
      </c>
      <c r="G270" t="s">
        <v>1418</v>
      </c>
    </row>
    <row r="271" spans="5:7">
      <c r="E271" t="s">
        <v>1419</v>
      </c>
      <c r="G271" t="s">
        <v>1420</v>
      </c>
    </row>
    <row r="272" spans="5:7">
      <c r="E272" t="s">
        <v>1421</v>
      </c>
      <c r="G272" t="s">
        <v>1422</v>
      </c>
    </row>
    <row r="273" spans="5:7">
      <c r="E273" t="s">
        <v>1423</v>
      </c>
      <c r="G273" t="s">
        <v>1424</v>
      </c>
    </row>
    <row r="274" spans="5:7">
      <c r="E274" t="s">
        <v>1425</v>
      </c>
      <c r="G274" t="s">
        <v>1426</v>
      </c>
    </row>
    <row r="275" spans="5:7">
      <c r="E275" t="s">
        <v>1427</v>
      </c>
      <c r="G275" t="s">
        <v>1428</v>
      </c>
    </row>
    <row r="276" spans="5:7">
      <c r="E276" t="s">
        <v>1429</v>
      </c>
      <c r="G276" t="s">
        <v>1430</v>
      </c>
    </row>
    <row r="277" spans="5:7">
      <c r="E277" t="s">
        <v>1431</v>
      </c>
      <c r="G277" t="s">
        <v>1432</v>
      </c>
    </row>
    <row r="278" spans="5:7">
      <c r="E278" t="s">
        <v>1433</v>
      </c>
      <c r="G278" t="s">
        <v>1434</v>
      </c>
    </row>
    <row r="279" spans="5:7">
      <c r="E279" t="s">
        <v>1435</v>
      </c>
      <c r="G279" t="s">
        <v>1436</v>
      </c>
    </row>
    <row r="280" spans="5:7">
      <c r="E280" t="s">
        <v>1437</v>
      </c>
      <c r="G280" t="s">
        <v>1438</v>
      </c>
    </row>
    <row r="281" spans="5:7">
      <c r="E281" t="s">
        <v>1439</v>
      </c>
      <c r="G281" t="s">
        <v>1440</v>
      </c>
    </row>
    <row r="282" spans="5:7">
      <c r="E282" t="s">
        <v>1441</v>
      </c>
      <c r="G282" t="s">
        <v>1442</v>
      </c>
    </row>
    <row r="283" spans="5:7">
      <c r="E283" t="s">
        <v>1443</v>
      </c>
      <c r="G283" t="s">
        <v>1444</v>
      </c>
    </row>
    <row r="284" spans="5:7">
      <c r="E284" t="s">
        <v>1445</v>
      </c>
      <c r="G284" t="s">
        <v>1446</v>
      </c>
    </row>
    <row r="285" spans="5:7">
      <c r="E285" t="s">
        <v>1447</v>
      </c>
      <c r="G285" t="s">
        <v>1448</v>
      </c>
    </row>
    <row r="286" spans="5:7">
      <c r="E286" t="s">
        <v>1449</v>
      </c>
      <c r="G286" t="s">
        <v>1450</v>
      </c>
    </row>
    <row r="287" spans="5:7">
      <c r="E287" t="s">
        <v>1451</v>
      </c>
      <c r="G287" t="s">
        <v>1452</v>
      </c>
    </row>
    <row r="288" spans="5:7">
      <c r="E288" t="s">
        <v>1453</v>
      </c>
      <c r="G288" t="s">
        <v>1454</v>
      </c>
    </row>
    <row r="289" spans="5:7">
      <c r="E289" t="s">
        <v>1455</v>
      </c>
      <c r="G289" t="s">
        <v>1456</v>
      </c>
    </row>
    <row r="290" spans="5:7">
      <c r="E290" t="s">
        <v>1457</v>
      </c>
      <c r="G290" t="s">
        <v>1458</v>
      </c>
    </row>
    <row r="291" spans="5:7">
      <c r="E291" t="s">
        <v>1459</v>
      </c>
      <c r="G291" t="s">
        <v>1460</v>
      </c>
    </row>
    <row r="292" spans="5:7">
      <c r="E292" t="s">
        <v>1461</v>
      </c>
      <c r="G292" t="s">
        <v>1462</v>
      </c>
    </row>
    <row r="293" spans="5:7">
      <c r="E293" t="s">
        <v>1463</v>
      </c>
      <c r="G293" t="s">
        <v>1464</v>
      </c>
    </row>
    <row r="294" spans="5:7">
      <c r="E294" t="s">
        <v>1465</v>
      </c>
      <c r="G294" t="s">
        <v>1466</v>
      </c>
    </row>
    <row r="295" spans="5:7">
      <c r="E295" t="s">
        <v>1467</v>
      </c>
      <c r="G295" t="s">
        <v>1468</v>
      </c>
    </row>
    <row r="296" spans="5:7">
      <c r="E296" t="s">
        <v>1469</v>
      </c>
      <c r="G296" t="s">
        <v>1470</v>
      </c>
    </row>
    <row r="297" spans="5:7">
      <c r="E297" t="s">
        <v>1471</v>
      </c>
      <c r="G297" t="s">
        <v>1472</v>
      </c>
    </row>
    <row r="298" spans="5:7">
      <c r="E298" t="s">
        <v>1473</v>
      </c>
      <c r="G298" t="s">
        <v>1474</v>
      </c>
    </row>
    <row r="299" spans="5:7">
      <c r="E299" t="s">
        <v>1475</v>
      </c>
      <c r="G299" t="s">
        <v>1476</v>
      </c>
    </row>
    <row r="300" spans="5:7">
      <c r="E300" t="s">
        <v>1477</v>
      </c>
      <c r="G300" t="s">
        <v>1478</v>
      </c>
    </row>
    <row r="301" spans="5:7">
      <c r="E301" t="s">
        <v>1479</v>
      </c>
      <c r="G301" t="s">
        <v>1480</v>
      </c>
    </row>
    <row r="302" spans="5:7">
      <c r="E302" t="s">
        <v>1481</v>
      </c>
      <c r="G302" t="s">
        <v>1482</v>
      </c>
    </row>
    <row r="303" spans="5:7">
      <c r="E303" t="s">
        <v>1483</v>
      </c>
      <c r="G303" t="s">
        <v>1484</v>
      </c>
    </row>
    <row r="304" spans="5:7">
      <c r="E304" t="s">
        <v>1485</v>
      </c>
      <c r="G304" t="s">
        <v>1486</v>
      </c>
    </row>
    <row r="305" spans="5:7">
      <c r="E305" t="s">
        <v>1487</v>
      </c>
      <c r="G305" t="s">
        <v>1488</v>
      </c>
    </row>
    <row r="306" spans="5:7">
      <c r="E306" t="s">
        <v>1489</v>
      </c>
      <c r="G306" t="s">
        <v>1490</v>
      </c>
    </row>
    <row r="307" spans="5:7">
      <c r="E307" t="s">
        <v>1491</v>
      </c>
      <c r="G307" t="s">
        <v>1492</v>
      </c>
    </row>
    <row r="308" spans="5:7">
      <c r="E308" t="s">
        <v>1493</v>
      </c>
      <c r="G308" t="s">
        <v>1494</v>
      </c>
    </row>
    <row r="309" spans="5:7">
      <c r="E309" t="s">
        <v>1495</v>
      </c>
      <c r="G309" t="s">
        <v>1496</v>
      </c>
    </row>
    <row r="310" spans="5:7">
      <c r="E310" t="s">
        <v>1497</v>
      </c>
      <c r="G310" t="s">
        <v>1498</v>
      </c>
    </row>
    <row r="311" spans="5:7">
      <c r="E311" t="s">
        <v>1499</v>
      </c>
      <c r="G311" t="s">
        <v>1500</v>
      </c>
    </row>
    <row r="312" spans="5:7">
      <c r="E312" t="s">
        <v>1501</v>
      </c>
      <c r="G312" t="s">
        <v>1502</v>
      </c>
    </row>
    <row r="313" spans="5:7">
      <c r="E313" t="s">
        <v>1503</v>
      </c>
      <c r="G313" t="s">
        <v>1504</v>
      </c>
    </row>
    <row r="314" spans="5:7">
      <c r="E314" t="s">
        <v>1505</v>
      </c>
      <c r="G314" t="s">
        <v>1506</v>
      </c>
    </row>
    <row r="315" spans="5:7">
      <c r="E315" t="s">
        <v>1507</v>
      </c>
      <c r="G315" t="s">
        <v>1508</v>
      </c>
    </row>
    <row r="316" spans="5:7">
      <c r="E316" t="s">
        <v>1509</v>
      </c>
      <c r="G316" t="s">
        <v>1510</v>
      </c>
    </row>
    <row r="317" spans="5:7">
      <c r="E317" t="s">
        <v>1511</v>
      </c>
      <c r="G317" t="s">
        <v>1512</v>
      </c>
    </row>
    <row r="318" spans="5:7">
      <c r="E318" t="s">
        <v>1513</v>
      </c>
      <c r="G318" t="s">
        <v>1514</v>
      </c>
    </row>
    <row r="319" spans="5:7">
      <c r="E319" t="s">
        <v>1515</v>
      </c>
      <c r="G319" t="s">
        <v>1516</v>
      </c>
    </row>
    <row r="320" spans="5:7">
      <c r="E320" t="s">
        <v>1517</v>
      </c>
      <c r="G320" t="s">
        <v>1518</v>
      </c>
    </row>
    <row r="321" spans="5:7">
      <c r="E321" t="s">
        <v>1519</v>
      </c>
      <c r="G321" t="s">
        <v>1520</v>
      </c>
    </row>
    <row r="322" spans="5:7">
      <c r="E322" t="s">
        <v>1521</v>
      </c>
      <c r="G322" t="s">
        <v>1522</v>
      </c>
    </row>
    <row r="323" spans="5:7">
      <c r="E323" t="s">
        <v>1523</v>
      </c>
      <c r="G323" t="s">
        <v>1524</v>
      </c>
    </row>
    <row r="324" spans="5:7">
      <c r="E324" t="s">
        <v>1525</v>
      </c>
      <c r="G324" t="s">
        <v>1526</v>
      </c>
    </row>
    <row r="325" spans="5:7">
      <c r="E325" t="s">
        <v>1527</v>
      </c>
      <c r="G325" t="s">
        <v>1528</v>
      </c>
    </row>
    <row r="326" spans="5:7">
      <c r="E326" t="s">
        <v>1529</v>
      </c>
      <c r="G326" t="s">
        <v>1530</v>
      </c>
    </row>
    <row r="327" spans="5:7">
      <c r="E327" t="s">
        <v>1531</v>
      </c>
      <c r="G327" t="s">
        <v>1532</v>
      </c>
    </row>
    <row r="328" spans="5:7">
      <c r="E328" t="s">
        <v>1533</v>
      </c>
      <c r="G328" t="s">
        <v>1534</v>
      </c>
    </row>
    <row r="329" spans="5:7">
      <c r="E329" t="s">
        <v>1535</v>
      </c>
      <c r="G329" t="s">
        <v>338</v>
      </c>
    </row>
    <row r="330" spans="5:7">
      <c r="E330" t="s">
        <v>1536</v>
      </c>
      <c r="G330" t="s">
        <v>1537</v>
      </c>
    </row>
    <row r="331" spans="5:7">
      <c r="E331" t="s">
        <v>1538</v>
      </c>
      <c r="G331" t="s">
        <v>338</v>
      </c>
    </row>
    <row r="332" spans="5:7">
      <c r="E332" t="s">
        <v>1539</v>
      </c>
      <c r="G332" t="s">
        <v>1537</v>
      </c>
    </row>
    <row r="333" spans="5:7">
      <c r="E333" t="s">
        <v>1540</v>
      </c>
      <c r="G333" t="s">
        <v>1541</v>
      </c>
    </row>
    <row r="334" spans="5:7">
      <c r="E334" t="s">
        <v>1542</v>
      </c>
      <c r="G334" t="s">
        <v>1543</v>
      </c>
    </row>
    <row r="335" spans="5:7">
      <c r="E335" t="s">
        <v>1544</v>
      </c>
      <c r="G335" t="s">
        <v>1545</v>
      </c>
    </row>
    <row r="336" spans="5:7">
      <c r="E336" t="s">
        <v>1546</v>
      </c>
      <c r="G336" t="s">
        <v>1547</v>
      </c>
    </row>
    <row r="337" spans="5:7">
      <c r="E337" t="s">
        <v>1548</v>
      </c>
      <c r="G337" t="s">
        <v>1549</v>
      </c>
    </row>
    <row r="338" spans="5:7">
      <c r="E338" t="s">
        <v>1550</v>
      </c>
      <c r="G338" t="s">
        <v>1551</v>
      </c>
    </row>
    <row r="339" spans="5:7">
      <c r="E339" t="s">
        <v>1552</v>
      </c>
      <c r="G339" t="s">
        <v>1553</v>
      </c>
    </row>
    <row r="340" spans="5:7">
      <c r="E340" t="s">
        <v>1554</v>
      </c>
      <c r="G340" t="s">
        <v>1555</v>
      </c>
    </row>
    <row r="341" spans="5:7">
      <c r="E341" t="s">
        <v>1556</v>
      </c>
      <c r="G341" t="s">
        <v>1557</v>
      </c>
    </row>
    <row r="342" spans="5:7">
      <c r="E342" t="s">
        <v>1558</v>
      </c>
      <c r="G342" t="s">
        <v>1559</v>
      </c>
    </row>
    <row r="343" spans="5:7">
      <c r="E343" t="s">
        <v>1560</v>
      </c>
      <c r="G343" t="s">
        <v>1561</v>
      </c>
    </row>
    <row r="344" spans="5:7">
      <c r="E344" t="s">
        <v>1562</v>
      </c>
      <c r="G344" t="s">
        <v>1563</v>
      </c>
    </row>
    <row r="345" spans="5:7">
      <c r="E345" t="s">
        <v>1564</v>
      </c>
      <c r="G345" t="s">
        <v>1565</v>
      </c>
    </row>
    <row r="346" spans="5:7">
      <c r="E346" t="s">
        <v>1566</v>
      </c>
      <c r="G346" t="s">
        <v>1567</v>
      </c>
    </row>
    <row r="347" spans="5:7">
      <c r="E347" t="s">
        <v>1568</v>
      </c>
      <c r="G347" t="s">
        <v>1569</v>
      </c>
    </row>
    <row r="348" spans="5:7">
      <c r="E348" t="s">
        <v>1570</v>
      </c>
      <c r="G348" t="s">
        <v>1571</v>
      </c>
    </row>
    <row r="349" spans="5:7">
      <c r="E349" t="s">
        <v>1572</v>
      </c>
      <c r="G349" t="s">
        <v>1573</v>
      </c>
    </row>
    <row r="350" spans="5:7">
      <c r="E350" t="s">
        <v>1574</v>
      </c>
      <c r="G350" t="s">
        <v>1575</v>
      </c>
    </row>
    <row r="351" spans="5:7">
      <c r="E351" t="s">
        <v>1576</v>
      </c>
      <c r="G351" t="s">
        <v>1577</v>
      </c>
    </row>
    <row r="352" spans="5:7">
      <c r="E352" t="s">
        <v>1578</v>
      </c>
      <c r="G352" t="s">
        <v>1579</v>
      </c>
    </row>
    <row r="353" spans="5:7">
      <c r="E353" t="s">
        <v>1580</v>
      </c>
      <c r="G353" t="s">
        <v>1581</v>
      </c>
    </row>
    <row r="354" spans="5:7">
      <c r="E354" t="s">
        <v>1582</v>
      </c>
      <c r="G354" t="s">
        <v>1583</v>
      </c>
    </row>
    <row r="355" spans="5:7">
      <c r="E355" t="s">
        <v>1584</v>
      </c>
      <c r="G355" t="s">
        <v>1585</v>
      </c>
    </row>
    <row r="356" spans="5:7">
      <c r="E356" t="s">
        <v>1586</v>
      </c>
      <c r="G356" t="s">
        <v>1587</v>
      </c>
    </row>
    <row r="357" spans="5:7">
      <c r="E357" t="s">
        <v>1588</v>
      </c>
      <c r="G357" t="s">
        <v>1589</v>
      </c>
    </row>
    <row r="358" spans="5:7">
      <c r="E358" t="s">
        <v>1590</v>
      </c>
      <c r="G358" t="s">
        <v>1591</v>
      </c>
    </row>
    <row r="359" spans="5:7">
      <c r="E359" t="s">
        <v>1592</v>
      </c>
      <c r="G359" t="s">
        <v>1593</v>
      </c>
    </row>
    <row r="360" spans="5:7">
      <c r="E360" t="s">
        <v>1594</v>
      </c>
      <c r="G360" t="s">
        <v>1595</v>
      </c>
    </row>
    <row r="361" spans="5:7">
      <c r="E361" t="s">
        <v>1596</v>
      </c>
      <c r="G361" t="s">
        <v>1597</v>
      </c>
    </row>
    <row r="362" spans="5:7">
      <c r="E362" t="s">
        <v>1598</v>
      </c>
      <c r="G362" t="s">
        <v>1599</v>
      </c>
    </row>
    <row r="363" spans="5:7">
      <c r="E363" t="s">
        <v>1600</v>
      </c>
      <c r="G363" t="s">
        <v>1601</v>
      </c>
    </row>
    <row r="364" spans="5:7">
      <c r="E364" t="s">
        <v>1602</v>
      </c>
      <c r="G364" t="s">
        <v>1603</v>
      </c>
    </row>
    <row r="365" spans="5:7">
      <c r="E365" t="s">
        <v>1604</v>
      </c>
      <c r="G365" t="s">
        <v>1605</v>
      </c>
    </row>
    <row r="366" spans="5:7">
      <c r="E366" t="s">
        <v>1606</v>
      </c>
      <c r="G366" t="s">
        <v>1607</v>
      </c>
    </row>
    <row r="367" spans="5:7">
      <c r="E367" t="s">
        <v>1608</v>
      </c>
      <c r="G367" t="s">
        <v>1609</v>
      </c>
    </row>
    <row r="368" spans="5:7">
      <c r="E368" t="s">
        <v>1610</v>
      </c>
      <c r="G368" t="s">
        <v>1611</v>
      </c>
    </row>
    <row r="369" spans="5:7">
      <c r="E369" t="s">
        <v>1612</v>
      </c>
      <c r="G369" t="s">
        <v>1613</v>
      </c>
    </row>
    <row r="370" spans="5:7">
      <c r="E370" t="s">
        <v>1614</v>
      </c>
      <c r="G370" t="s">
        <v>1615</v>
      </c>
    </row>
    <row r="371" spans="5:7">
      <c r="E371" t="s">
        <v>1616</v>
      </c>
      <c r="G371" t="s">
        <v>1617</v>
      </c>
    </row>
    <row r="372" spans="5:7">
      <c r="E372" t="s">
        <v>1618</v>
      </c>
      <c r="G372" t="s">
        <v>1619</v>
      </c>
    </row>
    <row r="373" spans="5:7">
      <c r="E373" t="s">
        <v>1620</v>
      </c>
      <c r="G373" t="s">
        <v>1621</v>
      </c>
    </row>
    <row r="374" spans="5:7">
      <c r="E374" t="s">
        <v>1622</v>
      </c>
      <c r="G374" t="s">
        <v>1623</v>
      </c>
    </row>
    <row r="375" spans="5:7">
      <c r="E375" t="s">
        <v>1624</v>
      </c>
      <c r="G375" t="s">
        <v>1625</v>
      </c>
    </row>
    <row r="376" spans="5:7">
      <c r="E376" t="s">
        <v>1626</v>
      </c>
      <c r="G376" t="s">
        <v>1627</v>
      </c>
    </row>
    <row r="377" spans="5:7">
      <c r="E377" t="s">
        <v>1628</v>
      </c>
      <c r="G377" t="s">
        <v>1629</v>
      </c>
    </row>
    <row r="378" spans="5:7">
      <c r="E378" t="s">
        <v>1630</v>
      </c>
      <c r="G378" t="s">
        <v>1631</v>
      </c>
    </row>
    <row r="379" spans="5:7">
      <c r="E379" t="s">
        <v>1632</v>
      </c>
      <c r="G379" t="s">
        <v>1633</v>
      </c>
    </row>
    <row r="380" spans="5:7">
      <c r="E380" t="s">
        <v>1634</v>
      </c>
      <c r="G380" t="s">
        <v>1635</v>
      </c>
    </row>
    <row r="381" spans="5:7">
      <c r="E381" t="s">
        <v>1636</v>
      </c>
      <c r="G381" t="s">
        <v>1637</v>
      </c>
    </row>
    <row r="382" spans="5:7">
      <c r="E382" t="s">
        <v>1638</v>
      </c>
      <c r="G382" t="s">
        <v>1639</v>
      </c>
    </row>
    <row r="383" spans="5:7">
      <c r="E383" t="s">
        <v>1515</v>
      </c>
      <c r="G383" t="s">
        <v>1640</v>
      </c>
    </row>
    <row r="384" spans="5:7">
      <c r="E384" t="s">
        <v>1641</v>
      </c>
      <c r="G384" t="s">
        <v>1642</v>
      </c>
    </row>
    <row r="385" spans="5:7">
      <c r="E385" t="s">
        <v>1643</v>
      </c>
      <c r="G385" t="s">
        <v>1644</v>
      </c>
    </row>
    <row r="386" spans="5:7">
      <c r="E386" t="s">
        <v>1645</v>
      </c>
      <c r="G386" t="s">
        <v>1646</v>
      </c>
    </row>
    <row r="387" spans="5:7">
      <c r="E387" t="s">
        <v>1647</v>
      </c>
      <c r="G387" t="s">
        <v>1648</v>
      </c>
    </row>
    <row r="388" spans="5:7">
      <c r="E388" t="s">
        <v>1649</v>
      </c>
      <c r="G388" t="s">
        <v>1650</v>
      </c>
    </row>
    <row r="389" spans="5:7">
      <c r="E389" t="s">
        <v>1651</v>
      </c>
      <c r="G389" t="s">
        <v>1652</v>
      </c>
    </row>
    <row r="390" spans="5:7">
      <c r="E390" t="s">
        <v>1653</v>
      </c>
      <c r="G390" t="s">
        <v>1654</v>
      </c>
    </row>
    <row r="391" spans="5:7">
      <c r="E391" t="s">
        <v>1655</v>
      </c>
      <c r="G391" t="s">
        <v>1656</v>
      </c>
    </row>
    <row r="392" spans="5:7">
      <c r="E392" t="s">
        <v>1657</v>
      </c>
      <c r="G392" t="s">
        <v>1658</v>
      </c>
    </row>
    <row r="393" spans="5:7">
      <c r="E393" t="s">
        <v>1659</v>
      </c>
      <c r="G393" t="s">
        <v>1660</v>
      </c>
    </row>
    <row r="394" spans="5:7">
      <c r="E394" t="s">
        <v>1661</v>
      </c>
      <c r="G394" t="s">
        <v>1662</v>
      </c>
    </row>
    <row r="395" spans="5:7">
      <c r="E395" t="s">
        <v>1663</v>
      </c>
      <c r="G395" t="s">
        <v>1664</v>
      </c>
    </row>
    <row r="396" spans="5:7">
      <c r="E396" t="s">
        <v>1665</v>
      </c>
      <c r="G396" t="s">
        <v>1666</v>
      </c>
    </row>
    <row r="397" spans="5:7">
      <c r="E397" t="s">
        <v>1667</v>
      </c>
      <c r="G397" t="s">
        <v>1668</v>
      </c>
    </row>
    <row r="398" spans="5:7">
      <c r="E398" t="s">
        <v>1669</v>
      </c>
      <c r="G398" t="s">
        <v>1670</v>
      </c>
    </row>
    <row r="399" spans="5:7">
      <c r="E399" t="s">
        <v>1671</v>
      </c>
      <c r="G399" t="s">
        <v>1672</v>
      </c>
    </row>
    <row r="400" spans="5:7">
      <c r="E400" t="s">
        <v>1673</v>
      </c>
      <c r="G400" t="s">
        <v>1674</v>
      </c>
    </row>
    <row r="401" spans="5:7">
      <c r="E401" t="s">
        <v>1675</v>
      </c>
      <c r="G401" t="s">
        <v>1676</v>
      </c>
    </row>
    <row r="402" spans="5:7">
      <c r="E402" t="s">
        <v>1677</v>
      </c>
      <c r="G402" t="s">
        <v>1678</v>
      </c>
    </row>
    <row r="403" spans="5:7">
      <c r="E403" t="s">
        <v>1679</v>
      </c>
      <c r="G403" t="s">
        <v>1680</v>
      </c>
    </row>
    <row r="404" spans="5:7">
      <c r="E404" t="s">
        <v>1681</v>
      </c>
      <c r="G404" t="s">
        <v>1682</v>
      </c>
    </row>
    <row r="405" spans="5:7">
      <c r="E405" t="s">
        <v>1683</v>
      </c>
      <c r="G405" t="s">
        <v>1684</v>
      </c>
    </row>
    <row r="406" spans="5:7">
      <c r="E406" t="s">
        <v>1685</v>
      </c>
      <c r="G406" t="s">
        <v>1686</v>
      </c>
    </row>
    <row r="407" spans="5:7">
      <c r="E407" t="s">
        <v>1687</v>
      </c>
      <c r="G407" t="s">
        <v>1688</v>
      </c>
    </row>
    <row r="408" spans="5:7">
      <c r="E408" t="s">
        <v>1689</v>
      </c>
      <c r="G408" t="s">
        <v>1690</v>
      </c>
    </row>
    <row r="409" spans="5:7">
      <c r="E409" t="s">
        <v>1691</v>
      </c>
      <c r="G409" t="s">
        <v>1692</v>
      </c>
    </row>
    <row r="410" spans="5:7">
      <c r="E410" t="s">
        <v>1693</v>
      </c>
      <c r="G410" t="s">
        <v>1694</v>
      </c>
    </row>
    <row r="411" spans="5:7">
      <c r="E411" t="s">
        <v>1695</v>
      </c>
      <c r="G411" t="s">
        <v>1696</v>
      </c>
    </row>
    <row r="412" spans="5:7">
      <c r="E412" t="s">
        <v>1697</v>
      </c>
      <c r="G412" t="s">
        <v>1698</v>
      </c>
    </row>
    <row r="413" spans="5:7">
      <c r="E413" t="s">
        <v>1699</v>
      </c>
      <c r="G413" t="s">
        <v>1700</v>
      </c>
    </row>
    <row r="414" spans="5:7">
      <c r="E414" t="s">
        <v>1701</v>
      </c>
      <c r="G414" t="s">
        <v>1702</v>
      </c>
    </row>
    <row r="415" spans="5:7">
      <c r="E415" t="s">
        <v>1703</v>
      </c>
      <c r="G415" t="s">
        <v>1704</v>
      </c>
    </row>
    <row r="416" spans="5:7">
      <c r="E416" t="s">
        <v>1705</v>
      </c>
      <c r="G416" t="s">
        <v>1706</v>
      </c>
    </row>
    <row r="417" spans="5:7">
      <c r="E417" t="s">
        <v>1707</v>
      </c>
      <c r="G417" t="s">
        <v>1708</v>
      </c>
    </row>
    <row r="418" spans="5:7">
      <c r="E418" t="s">
        <v>1709</v>
      </c>
      <c r="G418" t="s">
        <v>1710</v>
      </c>
    </row>
    <row r="419" spans="5:7">
      <c r="E419" t="s">
        <v>1711</v>
      </c>
      <c r="G419" t="s">
        <v>1712</v>
      </c>
    </row>
    <row r="420" spans="5:7">
      <c r="E420" t="s">
        <v>1713</v>
      </c>
      <c r="G420" t="s">
        <v>1714</v>
      </c>
    </row>
    <row r="421" spans="5:7">
      <c r="E421" t="s">
        <v>1715</v>
      </c>
      <c r="G421" t="s">
        <v>1716</v>
      </c>
    </row>
    <row r="422" spans="5:7">
      <c r="E422" t="s">
        <v>1717</v>
      </c>
      <c r="G422" t="s">
        <v>1718</v>
      </c>
    </row>
    <row r="423" spans="5:7">
      <c r="E423" t="s">
        <v>1719</v>
      </c>
      <c r="G423" t="s">
        <v>1720</v>
      </c>
    </row>
    <row r="424" spans="5:7">
      <c r="E424" t="s">
        <v>1721</v>
      </c>
      <c r="G424" t="s">
        <v>1722</v>
      </c>
    </row>
    <row r="425" spans="5:7">
      <c r="E425" t="s">
        <v>1723</v>
      </c>
      <c r="G425" t="s">
        <v>1724</v>
      </c>
    </row>
    <row r="426" spans="5:7">
      <c r="E426" t="s">
        <v>1725</v>
      </c>
      <c r="G426" t="s">
        <v>1726</v>
      </c>
    </row>
    <row r="427" spans="5:7">
      <c r="E427" t="s">
        <v>1727</v>
      </c>
      <c r="G427" t="s">
        <v>1728</v>
      </c>
    </row>
    <row r="428" spans="5:7">
      <c r="E428" t="s">
        <v>1729</v>
      </c>
      <c r="G428" t="s">
        <v>1730</v>
      </c>
    </row>
    <row r="429" spans="5:7">
      <c r="E429" t="s">
        <v>1731</v>
      </c>
      <c r="G429" t="s">
        <v>1732</v>
      </c>
    </row>
    <row r="430" spans="5:7">
      <c r="E430" t="s">
        <v>1733</v>
      </c>
      <c r="G430" t="s">
        <v>1734</v>
      </c>
    </row>
    <row r="431" spans="5:7">
      <c r="E431" t="s">
        <v>1735</v>
      </c>
      <c r="G431" t="s">
        <v>1736</v>
      </c>
    </row>
    <row r="432" spans="5:7">
      <c r="E432" t="s">
        <v>1737</v>
      </c>
      <c r="G432" t="s">
        <v>1738</v>
      </c>
    </row>
    <row r="433" spans="5:7">
      <c r="E433" t="s">
        <v>1739</v>
      </c>
      <c r="G433" t="s">
        <v>1740</v>
      </c>
    </row>
    <row r="434" spans="5:7">
      <c r="E434" t="s">
        <v>1741</v>
      </c>
      <c r="G434" t="s">
        <v>1742</v>
      </c>
    </row>
    <row r="435" spans="5:7">
      <c r="E435" t="s">
        <v>1743</v>
      </c>
      <c r="G435" t="s">
        <v>1744</v>
      </c>
    </row>
    <row r="436" spans="5:7">
      <c r="E436" t="s">
        <v>1745</v>
      </c>
      <c r="G436" t="s">
        <v>1746</v>
      </c>
    </row>
    <row r="437" spans="5:7">
      <c r="E437" t="s">
        <v>1747</v>
      </c>
      <c r="G437" t="s">
        <v>1748</v>
      </c>
    </row>
    <row r="438" spans="5:7">
      <c r="E438" t="s">
        <v>1749</v>
      </c>
      <c r="G438" t="s">
        <v>1750</v>
      </c>
    </row>
    <row r="439" spans="5:7">
      <c r="E439" t="s">
        <v>1751</v>
      </c>
      <c r="G439" t="s">
        <v>1752</v>
      </c>
    </row>
    <row r="440" spans="5:7">
      <c r="E440" t="s">
        <v>1753</v>
      </c>
      <c r="G440" t="s">
        <v>1754</v>
      </c>
    </row>
    <row r="441" spans="5:7">
      <c r="E441" t="s">
        <v>1755</v>
      </c>
      <c r="G441" t="s">
        <v>1756</v>
      </c>
    </row>
    <row r="442" spans="5:7">
      <c r="E442" t="s">
        <v>1757</v>
      </c>
      <c r="G442" t="s">
        <v>1758</v>
      </c>
    </row>
    <row r="443" spans="5:7">
      <c r="E443" t="s">
        <v>1759</v>
      </c>
      <c r="G443" t="s">
        <v>1760</v>
      </c>
    </row>
    <row r="444" spans="5:7">
      <c r="E444" t="s">
        <v>1761</v>
      </c>
      <c r="G444" t="s">
        <v>1762</v>
      </c>
    </row>
    <row r="445" spans="5:7">
      <c r="E445" t="s">
        <v>1763</v>
      </c>
      <c r="G445" t="s">
        <v>1764</v>
      </c>
    </row>
    <row r="446" spans="5:7">
      <c r="E446" t="s">
        <v>1765</v>
      </c>
      <c r="G446" t="s">
        <v>1766</v>
      </c>
    </row>
    <row r="447" spans="5:7">
      <c r="E447" t="s">
        <v>1767</v>
      </c>
      <c r="G447" t="s">
        <v>1768</v>
      </c>
    </row>
    <row r="448" spans="5:7">
      <c r="E448" t="s">
        <v>1769</v>
      </c>
      <c r="G448" t="s">
        <v>1770</v>
      </c>
    </row>
    <row r="449" spans="5:7">
      <c r="E449" t="s">
        <v>1771</v>
      </c>
      <c r="G449" t="s">
        <v>1772</v>
      </c>
    </row>
    <row r="450" spans="5:7">
      <c r="E450" t="s">
        <v>1773</v>
      </c>
      <c r="G450" t="s">
        <v>1774</v>
      </c>
    </row>
    <row r="451" spans="5:7">
      <c r="E451" t="s">
        <v>1775</v>
      </c>
      <c r="G451" t="s">
        <v>1776</v>
      </c>
    </row>
    <row r="452" spans="5:7">
      <c r="E452" t="s">
        <v>1777</v>
      </c>
      <c r="G452" t="s">
        <v>1778</v>
      </c>
    </row>
    <row r="453" spans="5:7">
      <c r="E453" t="s">
        <v>1779</v>
      </c>
      <c r="G453" t="s">
        <v>1780</v>
      </c>
    </row>
    <row r="454" spans="5:7">
      <c r="E454" t="s">
        <v>1781</v>
      </c>
      <c r="G454" t="s">
        <v>1782</v>
      </c>
    </row>
    <row r="455" spans="5:7">
      <c r="E455" t="s">
        <v>1783</v>
      </c>
      <c r="G455" t="s">
        <v>1784</v>
      </c>
    </row>
    <row r="456" spans="5:7">
      <c r="E456" t="s">
        <v>1785</v>
      </c>
      <c r="G456" t="s">
        <v>1786</v>
      </c>
    </row>
    <row r="457" spans="5:7">
      <c r="E457" t="s">
        <v>1787</v>
      </c>
      <c r="G457" t="s">
        <v>1788</v>
      </c>
    </row>
    <row r="458" spans="5:7">
      <c r="E458" t="s">
        <v>1789</v>
      </c>
      <c r="G458" t="s">
        <v>1790</v>
      </c>
    </row>
    <row r="459" spans="5:7">
      <c r="E459" t="s">
        <v>1791</v>
      </c>
      <c r="G459" t="s">
        <v>1792</v>
      </c>
    </row>
    <row r="460" spans="5:7">
      <c r="E460" t="s">
        <v>1793</v>
      </c>
      <c r="G460" t="s">
        <v>1794</v>
      </c>
    </row>
    <row r="461" spans="5:7">
      <c r="E461" t="s">
        <v>1795</v>
      </c>
      <c r="G461" t="s">
        <v>1796</v>
      </c>
    </row>
    <row r="462" spans="5:7">
      <c r="E462" t="s">
        <v>1797</v>
      </c>
      <c r="G462" t="s">
        <v>1798</v>
      </c>
    </row>
    <row r="463" spans="5:7">
      <c r="E463" t="s">
        <v>1799</v>
      </c>
      <c r="G463" t="s">
        <v>1800</v>
      </c>
    </row>
    <row r="464" spans="5:7">
      <c r="E464" t="s">
        <v>1801</v>
      </c>
      <c r="G464" t="s">
        <v>1802</v>
      </c>
    </row>
    <row r="465" spans="5:7">
      <c r="E465" t="s">
        <v>1803</v>
      </c>
      <c r="G465" t="s">
        <v>1804</v>
      </c>
    </row>
    <row r="466" spans="5:7">
      <c r="E466" t="s">
        <v>1805</v>
      </c>
      <c r="G466" t="s">
        <v>1806</v>
      </c>
    </row>
    <row r="467" spans="5:7">
      <c r="E467" t="s">
        <v>1807</v>
      </c>
      <c r="G467" t="s">
        <v>1808</v>
      </c>
    </row>
    <row r="468" spans="5:7">
      <c r="E468" t="s">
        <v>1809</v>
      </c>
      <c r="G468" t="s">
        <v>1810</v>
      </c>
    </row>
    <row r="469" spans="5:7">
      <c r="E469" t="s">
        <v>1811</v>
      </c>
      <c r="G469" t="s">
        <v>1812</v>
      </c>
    </row>
    <row r="470" spans="5:7">
      <c r="E470" t="s">
        <v>1813</v>
      </c>
      <c r="G470" t="s">
        <v>1790</v>
      </c>
    </row>
    <row r="471" spans="5:7">
      <c r="E471" t="s">
        <v>1814</v>
      </c>
      <c r="G471" t="s">
        <v>1815</v>
      </c>
    </row>
    <row r="472" spans="5:7">
      <c r="E472" t="s">
        <v>1816</v>
      </c>
      <c r="G472" t="s">
        <v>1817</v>
      </c>
    </row>
    <row r="473" spans="5:7">
      <c r="E473" t="s">
        <v>1818</v>
      </c>
      <c r="G473" t="s">
        <v>1819</v>
      </c>
    </row>
    <row r="474" spans="5:7">
      <c r="E474" t="s">
        <v>1820</v>
      </c>
      <c r="G474" t="s">
        <v>1821</v>
      </c>
    </row>
    <row r="475" spans="5:7">
      <c r="E475" t="s">
        <v>1822</v>
      </c>
      <c r="G475" t="s">
        <v>1790</v>
      </c>
    </row>
    <row r="476" spans="5:7">
      <c r="E476" t="s">
        <v>1823</v>
      </c>
      <c r="G476" t="s">
        <v>1790</v>
      </c>
    </row>
    <row r="477" spans="5:7">
      <c r="E477" t="s">
        <v>1824</v>
      </c>
      <c r="G477" t="s">
        <v>1825</v>
      </c>
    </row>
    <row r="478" spans="5:7">
      <c r="E478" t="s">
        <v>1826</v>
      </c>
      <c r="G478" t="s">
        <v>1827</v>
      </c>
    </row>
    <row r="479" spans="5:7">
      <c r="E479" t="s">
        <v>1828</v>
      </c>
      <c r="G479" t="s">
        <v>1829</v>
      </c>
    </row>
    <row r="480" spans="5:7">
      <c r="E480" t="s">
        <v>1830</v>
      </c>
      <c r="G480" t="s">
        <v>1831</v>
      </c>
    </row>
    <row r="481" spans="5:7">
      <c r="E481" t="s">
        <v>1832</v>
      </c>
      <c r="G481" t="s">
        <v>1833</v>
      </c>
    </row>
    <row r="482" spans="5:7">
      <c r="E482" t="s">
        <v>1834</v>
      </c>
      <c r="G482" t="s">
        <v>1835</v>
      </c>
    </row>
    <row r="483" spans="5:7">
      <c r="E483" t="s">
        <v>1836</v>
      </c>
      <c r="G483" t="s">
        <v>1837</v>
      </c>
    </row>
    <row r="484" spans="5:7">
      <c r="E484" t="s">
        <v>1838</v>
      </c>
      <c r="G484" t="s">
        <v>1839</v>
      </c>
    </row>
    <row r="485" spans="5:7">
      <c r="E485" t="s">
        <v>1840</v>
      </c>
      <c r="G485" t="s">
        <v>1841</v>
      </c>
    </row>
    <row r="486" spans="5:7">
      <c r="E486" t="s">
        <v>1842</v>
      </c>
      <c r="G486" t="s">
        <v>1843</v>
      </c>
    </row>
    <row r="487" spans="5:7">
      <c r="E487" t="s">
        <v>1844</v>
      </c>
      <c r="G487" t="s">
        <v>1845</v>
      </c>
    </row>
    <row r="488" spans="5:7">
      <c r="E488" t="s">
        <v>1846</v>
      </c>
      <c r="G488" t="s">
        <v>1847</v>
      </c>
    </row>
    <row r="489" spans="5:7">
      <c r="E489" t="s">
        <v>1848</v>
      </c>
      <c r="G489" t="s">
        <v>1849</v>
      </c>
    </row>
    <row r="490" spans="5:7">
      <c r="E490" t="s">
        <v>1850</v>
      </c>
      <c r="G490" t="s">
        <v>1851</v>
      </c>
    </row>
    <row r="491" spans="5:7">
      <c r="E491" t="s">
        <v>1852</v>
      </c>
      <c r="G491" t="s">
        <v>1853</v>
      </c>
    </row>
    <row r="492" spans="5:7">
      <c r="E492" t="s">
        <v>1854</v>
      </c>
      <c r="G492" t="s">
        <v>1855</v>
      </c>
    </row>
    <row r="493" spans="5:7">
      <c r="E493" t="s">
        <v>1856</v>
      </c>
      <c r="G493" t="s">
        <v>1857</v>
      </c>
    </row>
    <row r="494" spans="5:7">
      <c r="E494" t="s">
        <v>1858</v>
      </c>
      <c r="G494" t="s">
        <v>1859</v>
      </c>
    </row>
    <row r="495" spans="5:7">
      <c r="E495" t="s">
        <v>1860</v>
      </c>
      <c r="G495" t="s">
        <v>1861</v>
      </c>
    </row>
    <row r="496" spans="5:7">
      <c r="E496" t="s">
        <v>1862</v>
      </c>
      <c r="G496" t="s">
        <v>1863</v>
      </c>
    </row>
    <row r="497" spans="5:7">
      <c r="E497" t="s">
        <v>1864</v>
      </c>
      <c r="G497" t="s">
        <v>1865</v>
      </c>
    </row>
    <row r="498" spans="5:7">
      <c r="E498" t="s">
        <v>1866</v>
      </c>
      <c r="G498" t="s">
        <v>1867</v>
      </c>
    </row>
    <row r="499" spans="5:7">
      <c r="E499" t="s">
        <v>1868</v>
      </c>
      <c r="G499" t="s">
        <v>1869</v>
      </c>
    </row>
    <row r="500" spans="5:7">
      <c r="E500" t="s">
        <v>1870</v>
      </c>
      <c r="G500" t="s">
        <v>1871</v>
      </c>
    </row>
    <row r="501" spans="5:7">
      <c r="E501" t="s">
        <v>1872</v>
      </c>
      <c r="G501" t="s">
        <v>1873</v>
      </c>
    </row>
    <row r="502" spans="5:7">
      <c r="E502" t="s">
        <v>1874</v>
      </c>
      <c r="G502" t="s">
        <v>1875</v>
      </c>
    </row>
    <row r="503" spans="5:7">
      <c r="E503" t="s">
        <v>1876</v>
      </c>
      <c r="G503" t="s">
        <v>1877</v>
      </c>
    </row>
    <row r="504" spans="5:7">
      <c r="E504" t="s">
        <v>1878</v>
      </c>
      <c r="G504" t="s">
        <v>1879</v>
      </c>
    </row>
    <row r="505" spans="5:7">
      <c r="E505" t="s">
        <v>1880</v>
      </c>
      <c r="G505" t="s">
        <v>1871</v>
      </c>
    </row>
    <row r="506" spans="5:7">
      <c r="E506" t="s">
        <v>1881</v>
      </c>
      <c r="G506" t="s">
        <v>1882</v>
      </c>
    </row>
    <row r="507" spans="5:7">
      <c r="E507" t="s">
        <v>1883</v>
      </c>
      <c r="G507" t="s">
        <v>1884</v>
      </c>
    </row>
    <row r="508" spans="5:7">
      <c r="E508" t="s">
        <v>1885</v>
      </c>
      <c r="G508" t="s">
        <v>1877</v>
      </c>
    </row>
    <row r="509" spans="5:7">
      <c r="E509" t="s">
        <v>1886</v>
      </c>
      <c r="G509" t="s">
        <v>1887</v>
      </c>
    </row>
    <row r="510" spans="5:7">
      <c r="E510" t="s">
        <v>1888</v>
      </c>
      <c r="G510" t="s">
        <v>1889</v>
      </c>
    </row>
    <row r="511" spans="5:7">
      <c r="E511" t="s">
        <v>1890</v>
      </c>
      <c r="G511" t="s">
        <v>1891</v>
      </c>
    </row>
    <row r="512" spans="5:7">
      <c r="E512" t="s">
        <v>1892</v>
      </c>
      <c r="G512" t="s">
        <v>1893</v>
      </c>
    </row>
    <row r="513" spans="5:7">
      <c r="E513" t="s">
        <v>1894</v>
      </c>
      <c r="G513" t="s">
        <v>1895</v>
      </c>
    </row>
    <row r="514" spans="5:7">
      <c r="E514" t="s">
        <v>1896</v>
      </c>
      <c r="G514" t="s">
        <v>1897</v>
      </c>
    </row>
    <row r="515" spans="5:7">
      <c r="E515" t="s">
        <v>1898</v>
      </c>
      <c r="G515" t="s">
        <v>1899</v>
      </c>
    </row>
    <row r="516" spans="5:7">
      <c r="E516" t="s">
        <v>1900</v>
      </c>
      <c r="G516" t="s">
        <v>1901</v>
      </c>
    </row>
    <row r="517" spans="5:7">
      <c r="E517" t="s">
        <v>1902</v>
      </c>
      <c r="G517" t="s">
        <v>1903</v>
      </c>
    </row>
    <row r="518" spans="5:7">
      <c r="E518" t="s">
        <v>1904</v>
      </c>
      <c r="G518" t="s">
        <v>1905</v>
      </c>
    </row>
    <row r="519" spans="5:7">
      <c r="E519" t="s">
        <v>1906</v>
      </c>
      <c r="G519" t="s">
        <v>1907</v>
      </c>
    </row>
    <row r="520" spans="5:7">
      <c r="E520" t="s">
        <v>1908</v>
      </c>
      <c r="G520" t="s">
        <v>1909</v>
      </c>
    </row>
    <row r="521" spans="5:7">
      <c r="E521" t="s">
        <v>1910</v>
      </c>
      <c r="G521" t="s">
        <v>1911</v>
      </c>
    </row>
    <row r="522" spans="5:7">
      <c r="E522" t="s">
        <v>1912</v>
      </c>
      <c r="G522" t="s">
        <v>1913</v>
      </c>
    </row>
    <row r="523" spans="5:7">
      <c r="E523" t="s">
        <v>1914</v>
      </c>
      <c r="G523" t="s">
        <v>1915</v>
      </c>
    </row>
    <row r="524" spans="5:7">
      <c r="E524" s="10" t="s">
        <v>1916</v>
      </c>
      <c r="G524" t="s">
        <v>1917</v>
      </c>
    </row>
    <row r="525" spans="5:7">
      <c r="E525" s="10" t="s">
        <v>1918</v>
      </c>
      <c r="G525" t="s">
        <v>1919</v>
      </c>
    </row>
    <row r="526" spans="5:7">
      <c r="E526" t="s">
        <v>1920</v>
      </c>
      <c r="G526" t="s">
        <v>1921</v>
      </c>
    </row>
    <row r="527" spans="5:9">
      <c r="E527" s="10" t="s">
        <v>1922</v>
      </c>
      <c r="G527" s="10" t="s">
        <v>1923</v>
      </c>
      <c r="H527" s="10"/>
      <c r="I527" s="10"/>
    </row>
    <row r="528" spans="5:7">
      <c r="E528" s="10" t="s">
        <v>1924</v>
      </c>
      <c r="G528" t="s">
        <v>1925</v>
      </c>
    </row>
    <row r="529" spans="5:7">
      <c r="E529" t="s">
        <v>1926</v>
      </c>
      <c r="G529" t="s">
        <v>1927</v>
      </c>
    </row>
    <row r="530" spans="5:7">
      <c r="E530" t="s">
        <v>1928</v>
      </c>
      <c r="G530" t="s">
        <v>1929</v>
      </c>
    </row>
    <row r="531" spans="5:7">
      <c r="E531" s="10" t="s">
        <v>1930</v>
      </c>
      <c r="G531" t="s">
        <v>1931</v>
      </c>
    </row>
    <row r="532" spans="5:7">
      <c r="E532" t="s">
        <v>1932</v>
      </c>
      <c r="G532" t="s">
        <v>1933</v>
      </c>
    </row>
    <row r="533" spans="5:7">
      <c r="E533" s="10" t="s">
        <v>1934</v>
      </c>
      <c r="G533" t="s">
        <v>1935</v>
      </c>
    </row>
    <row r="534" spans="5:7">
      <c r="E534" s="10" t="s">
        <v>1936</v>
      </c>
      <c r="G534" t="s">
        <v>1937</v>
      </c>
    </row>
    <row r="535" spans="5:9">
      <c r="E535" s="10" t="s">
        <v>1938</v>
      </c>
      <c r="G535" s="10" t="s">
        <v>1939</v>
      </c>
      <c r="H535" s="10"/>
      <c r="I535" s="10"/>
    </row>
    <row r="536" spans="5:7">
      <c r="E536" s="10" t="s">
        <v>1940</v>
      </c>
      <c r="G536" t="s">
        <v>1941</v>
      </c>
    </row>
    <row r="537" spans="5:9">
      <c r="E537" t="s">
        <v>1942</v>
      </c>
      <c r="G537" s="10" t="s">
        <v>1943</v>
      </c>
      <c r="H537" s="10"/>
      <c r="I537" s="10"/>
    </row>
    <row r="538" spans="5:9">
      <c r="E538" t="s">
        <v>1944</v>
      </c>
      <c r="G538" s="10" t="s">
        <v>1945</v>
      </c>
      <c r="H538" s="10"/>
      <c r="I538" s="10"/>
    </row>
    <row r="539" spans="5:9">
      <c r="E539" t="s">
        <v>1946</v>
      </c>
      <c r="G539" s="10" t="s">
        <v>1947</v>
      </c>
      <c r="H539" s="10"/>
      <c r="I539" s="10"/>
    </row>
    <row r="540" spans="5:9">
      <c r="E540" t="s">
        <v>1948</v>
      </c>
      <c r="G540" s="10" t="s">
        <v>1949</v>
      </c>
      <c r="H540" s="10"/>
      <c r="I540" s="10"/>
    </row>
    <row r="541" spans="5:9">
      <c r="E541" t="s">
        <v>1950</v>
      </c>
      <c r="G541" s="10" t="s">
        <v>1951</v>
      </c>
      <c r="H541" s="10"/>
      <c r="I541" s="10"/>
    </row>
    <row r="542" spans="5:9">
      <c r="E542" t="s">
        <v>1952</v>
      </c>
      <c r="G542" s="10" t="s">
        <v>1953</v>
      </c>
      <c r="H542" s="10"/>
      <c r="I542" s="10"/>
    </row>
    <row r="543" spans="5:9">
      <c r="E543" t="s">
        <v>1954</v>
      </c>
      <c r="G543" s="10" t="s">
        <v>1955</v>
      </c>
      <c r="H543" s="10"/>
      <c r="I543" s="10"/>
    </row>
    <row r="544" spans="5:9">
      <c r="E544" t="s">
        <v>1956</v>
      </c>
      <c r="G544" s="10" t="s">
        <v>1957</v>
      </c>
      <c r="H544" s="10"/>
      <c r="I544" s="10"/>
    </row>
    <row r="545" spans="5:9">
      <c r="E545" t="s">
        <v>1958</v>
      </c>
      <c r="G545" s="10" t="s">
        <v>1959</v>
      </c>
      <c r="H545" s="10"/>
      <c r="I545" s="10"/>
    </row>
    <row r="546" spans="5:9">
      <c r="E546" t="s">
        <v>1960</v>
      </c>
      <c r="G546" s="10" t="s">
        <v>1961</v>
      </c>
      <c r="H546" s="10"/>
      <c r="I546" s="10"/>
    </row>
    <row r="547" spans="5:9">
      <c r="E547" t="s">
        <v>1962</v>
      </c>
      <c r="G547" s="10" t="s">
        <v>1963</v>
      </c>
      <c r="H547" s="10"/>
      <c r="I547" s="10"/>
    </row>
    <row r="548" spans="5:9">
      <c r="E548" t="s">
        <v>1964</v>
      </c>
      <c r="G548" s="10" t="s">
        <v>1965</v>
      </c>
      <c r="H548" s="10"/>
      <c r="I548" s="10"/>
    </row>
    <row r="549" spans="5:9">
      <c r="E549" t="s">
        <v>1966</v>
      </c>
      <c r="G549" s="10" t="s">
        <v>1967</v>
      </c>
      <c r="H549" s="10"/>
      <c r="I549" s="10"/>
    </row>
    <row r="550" spans="5:9">
      <c r="E550" t="s">
        <v>1968</v>
      </c>
      <c r="G550" s="10" t="s">
        <v>1969</v>
      </c>
      <c r="H550" s="10"/>
      <c r="I550" s="10"/>
    </row>
    <row r="551" spans="5:9">
      <c r="E551" t="s">
        <v>1970</v>
      </c>
      <c r="G551" s="10" t="s">
        <v>1971</v>
      </c>
      <c r="H551" s="10"/>
      <c r="I551" s="10"/>
    </row>
    <row r="552" spans="5:9">
      <c r="E552" t="s">
        <v>1972</v>
      </c>
      <c r="G552" s="10" t="s">
        <v>1973</v>
      </c>
      <c r="H552" s="10"/>
      <c r="I552" s="10"/>
    </row>
    <row r="553" spans="5:7">
      <c r="E553" t="s">
        <v>1974</v>
      </c>
      <c r="G553" t="s">
        <v>1975</v>
      </c>
    </row>
    <row r="554" spans="5:7">
      <c r="E554" t="s">
        <v>1976</v>
      </c>
      <c r="G554" t="s">
        <v>1977</v>
      </c>
    </row>
    <row r="555" spans="5:7">
      <c r="E555" t="s">
        <v>1978</v>
      </c>
      <c r="G555" t="s">
        <v>1979</v>
      </c>
    </row>
    <row r="556" spans="5:7">
      <c r="E556" t="s">
        <v>1980</v>
      </c>
      <c r="G556" t="s">
        <v>1981</v>
      </c>
    </row>
    <row r="557" spans="5:7">
      <c r="E557" t="s">
        <v>1982</v>
      </c>
      <c r="G557" t="s">
        <v>1983</v>
      </c>
    </row>
    <row r="558" spans="5:7">
      <c r="E558" t="s">
        <v>1984</v>
      </c>
      <c r="G558" t="s">
        <v>1985</v>
      </c>
    </row>
    <row r="559" spans="5:7">
      <c r="E559" t="s">
        <v>1986</v>
      </c>
      <c r="G559" t="s">
        <v>1987</v>
      </c>
    </row>
    <row r="560" spans="5:7">
      <c r="E560" t="s">
        <v>1988</v>
      </c>
      <c r="G560" t="s">
        <v>1989</v>
      </c>
    </row>
    <row r="561" spans="5:7">
      <c r="E561" t="s">
        <v>1990</v>
      </c>
      <c r="G561" t="s">
        <v>1991</v>
      </c>
    </row>
    <row r="562" spans="5:7">
      <c r="E562" t="s">
        <v>1992</v>
      </c>
      <c r="G562" t="s">
        <v>1993</v>
      </c>
    </row>
    <row r="563" spans="5:7">
      <c r="E563" t="s">
        <v>1994</v>
      </c>
      <c r="G563" t="s">
        <v>1995</v>
      </c>
    </row>
    <row r="564" spans="5:7">
      <c r="E564" t="s">
        <v>1996</v>
      </c>
      <c r="G564" t="s">
        <v>1997</v>
      </c>
    </row>
    <row r="565" spans="5:7">
      <c r="E565" t="s">
        <v>1998</v>
      </c>
      <c r="G565" t="s">
        <v>1999</v>
      </c>
    </row>
    <row r="566" spans="5:7">
      <c r="E566" t="s">
        <v>2000</v>
      </c>
      <c r="G566" t="s">
        <v>2001</v>
      </c>
    </row>
    <row r="567" spans="5:7">
      <c r="E567" t="s">
        <v>2002</v>
      </c>
      <c r="G567" t="s">
        <v>2003</v>
      </c>
    </row>
    <row r="568" spans="5:7">
      <c r="E568" t="s">
        <v>2004</v>
      </c>
      <c r="G568" t="s">
        <v>2005</v>
      </c>
    </row>
    <row r="569" spans="5:7">
      <c r="E569" t="s">
        <v>2006</v>
      </c>
      <c r="G569" t="s">
        <v>2007</v>
      </c>
    </row>
    <row r="570" spans="5:7">
      <c r="E570" t="s">
        <v>2008</v>
      </c>
      <c r="G570" t="s">
        <v>2009</v>
      </c>
    </row>
    <row r="571" spans="5:7">
      <c r="E571" t="s">
        <v>2010</v>
      </c>
      <c r="G571" t="s">
        <v>2011</v>
      </c>
    </row>
    <row r="572" spans="5:7">
      <c r="E572" t="s">
        <v>2012</v>
      </c>
      <c r="G572" t="s">
        <v>2013</v>
      </c>
    </row>
    <row r="573" spans="5:7">
      <c r="E573" t="s">
        <v>2014</v>
      </c>
      <c r="G573" t="s">
        <v>2015</v>
      </c>
    </row>
    <row r="574" spans="5:7">
      <c r="E574" t="s">
        <v>2016</v>
      </c>
      <c r="G574" t="s">
        <v>2017</v>
      </c>
    </row>
    <row r="575" spans="5:7">
      <c r="E575" t="s">
        <v>2018</v>
      </c>
      <c r="G575" t="s">
        <v>2019</v>
      </c>
    </row>
    <row r="576" spans="5:7">
      <c r="E576" t="s">
        <v>2020</v>
      </c>
      <c r="G576" t="s">
        <v>2021</v>
      </c>
    </row>
    <row r="577" spans="5:7">
      <c r="E577" t="s">
        <v>2022</v>
      </c>
      <c r="G577" t="s">
        <v>2023</v>
      </c>
    </row>
    <row r="578" spans="5:7">
      <c r="E578" t="s">
        <v>2024</v>
      </c>
      <c r="G578" t="s">
        <v>2025</v>
      </c>
    </row>
    <row r="579" spans="5:7">
      <c r="E579" t="s">
        <v>2026</v>
      </c>
      <c r="G579" t="s">
        <v>2027</v>
      </c>
    </row>
    <row r="580" spans="5:7">
      <c r="E580" t="s">
        <v>2028</v>
      </c>
      <c r="G580" t="s">
        <v>2029</v>
      </c>
    </row>
    <row r="581" spans="5:7">
      <c r="E581" t="s">
        <v>2030</v>
      </c>
      <c r="G581" t="s">
        <v>2031</v>
      </c>
    </row>
    <row r="582" spans="5:7">
      <c r="E582" t="s">
        <v>2032</v>
      </c>
      <c r="G582" t="s">
        <v>2033</v>
      </c>
    </row>
    <row r="583" spans="5:7">
      <c r="E583" t="s">
        <v>2034</v>
      </c>
      <c r="G583" t="s">
        <v>2035</v>
      </c>
    </row>
    <row r="584" spans="5:7">
      <c r="E584" t="s">
        <v>2036</v>
      </c>
      <c r="G584" t="s">
        <v>2037</v>
      </c>
    </row>
    <row r="585" spans="5:7">
      <c r="E585" t="s">
        <v>2038</v>
      </c>
      <c r="G585" t="s">
        <v>2039</v>
      </c>
    </row>
    <row r="586" spans="5:7">
      <c r="E586" t="s">
        <v>2040</v>
      </c>
      <c r="G586" t="s">
        <v>2041</v>
      </c>
    </row>
    <row r="587" spans="5:7">
      <c r="E587" t="s">
        <v>2042</v>
      </c>
      <c r="G587" t="s">
        <v>2043</v>
      </c>
    </row>
    <row r="588" spans="5:7">
      <c r="E588" t="s">
        <v>1894</v>
      </c>
      <c r="G588" t="s">
        <v>2044</v>
      </c>
    </row>
    <row r="589" spans="5:7">
      <c r="E589" t="s">
        <v>2045</v>
      </c>
      <c r="G589" t="s">
        <v>2046</v>
      </c>
    </row>
    <row r="590" spans="5:7">
      <c r="E590" t="s">
        <v>2047</v>
      </c>
      <c r="G590" t="s">
        <v>2048</v>
      </c>
    </row>
    <row r="591" spans="5:7">
      <c r="E591" t="s">
        <v>2049</v>
      </c>
      <c r="G591" t="s">
        <v>2050</v>
      </c>
    </row>
    <row r="592" spans="5:7">
      <c r="E592" t="s">
        <v>2051</v>
      </c>
      <c r="G592" t="s">
        <v>2052</v>
      </c>
    </row>
    <row r="593" spans="5:7">
      <c r="E593" t="s">
        <v>2053</v>
      </c>
      <c r="G593" t="s">
        <v>2054</v>
      </c>
    </row>
    <row r="594" spans="5:7">
      <c r="E594" t="s">
        <v>2055</v>
      </c>
      <c r="G594" t="s">
        <v>2056</v>
      </c>
    </row>
    <row r="595" spans="5:7">
      <c r="E595" t="s">
        <v>2057</v>
      </c>
      <c r="G595" t="s">
        <v>2058</v>
      </c>
    </row>
    <row r="596" spans="5:7">
      <c r="E596" t="s">
        <v>2059</v>
      </c>
      <c r="G596" t="s">
        <v>2060</v>
      </c>
    </row>
    <row r="597" spans="5:7">
      <c r="E597" t="s">
        <v>2061</v>
      </c>
      <c r="G597" t="s">
        <v>2062</v>
      </c>
    </row>
    <row r="598" spans="5:7">
      <c r="E598" t="s">
        <v>2063</v>
      </c>
      <c r="G598" t="s">
        <v>2064</v>
      </c>
    </row>
    <row r="599" spans="5:7">
      <c r="E599" t="s">
        <v>2065</v>
      </c>
      <c r="G599" t="s">
        <v>2066</v>
      </c>
    </row>
    <row r="600" spans="5:7">
      <c r="E600" t="s">
        <v>2067</v>
      </c>
      <c r="G600" t="s">
        <v>2068</v>
      </c>
    </row>
    <row r="601" spans="5:7">
      <c r="E601" t="s">
        <v>2069</v>
      </c>
      <c r="G601" t="s">
        <v>2070</v>
      </c>
    </row>
    <row r="602" spans="5:7">
      <c r="E602" t="s">
        <v>2071</v>
      </c>
      <c r="G602" t="s">
        <v>2072</v>
      </c>
    </row>
    <row r="603" spans="5:7">
      <c r="E603" t="s">
        <v>2073</v>
      </c>
      <c r="G603" t="s">
        <v>2074</v>
      </c>
    </row>
    <row r="604" spans="5:7">
      <c r="E604" t="s">
        <v>2075</v>
      </c>
      <c r="G604" t="s">
        <v>2076</v>
      </c>
    </row>
    <row r="605" spans="5:7">
      <c r="E605" t="s">
        <v>2077</v>
      </c>
      <c r="G605" t="s">
        <v>2078</v>
      </c>
    </row>
    <row r="606" spans="5:7">
      <c r="E606" t="s">
        <v>2079</v>
      </c>
      <c r="G606" t="s">
        <v>2080</v>
      </c>
    </row>
    <row r="607" spans="5:7">
      <c r="E607" t="s">
        <v>2081</v>
      </c>
      <c r="G607" t="s">
        <v>2082</v>
      </c>
    </row>
    <row r="608" spans="5:7">
      <c r="E608" t="s">
        <v>2083</v>
      </c>
      <c r="G608" t="s">
        <v>2084</v>
      </c>
    </row>
    <row r="609" spans="5:7">
      <c r="E609" t="s">
        <v>2085</v>
      </c>
      <c r="G609" t="s">
        <v>2086</v>
      </c>
    </row>
    <row r="610" spans="5:7">
      <c r="E610" t="s">
        <v>2087</v>
      </c>
      <c r="G610" t="s">
        <v>2088</v>
      </c>
    </row>
    <row r="611" spans="5:7">
      <c r="E611" t="s">
        <v>2089</v>
      </c>
      <c r="G611" t="s">
        <v>2090</v>
      </c>
    </row>
    <row r="612" spans="5:7">
      <c r="E612" t="s">
        <v>2091</v>
      </c>
      <c r="G612" t="s">
        <v>2092</v>
      </c>
    </row>
    <row r="613" spans="5:7">
      <c r="E613" t="s">
        <v>2093</v>
      </c>
      <c r="G613" t="s">
        <v>2094</v>
      </c>
    </row>
    <row r="614" spans="5:7">
      <c r="E614" t="s">
        <v>2095</v>
      </c>
      <c r="G614" t="s">
        <v>2096</v>
      </c>
    </row>
    <row r="615" spans="5:7">
      <c r="E615" t="s">
        <v>2097</v>
      </c>
      <c r="G615" t="s">
        <v>2098</v>
      </c>
    </row>
    <row r="616" spans="5:7">
      <c r="E616" t="s">
        <v>2099</v>
      </c>
      <c r="G616" t="s">
        <v>2100</v>
      </c>
    </row>
    <row r="617" spans="5:7">
      <c r="E617" t="s">
        <v>2101</v>
      </c>
      <c r="G617" t="s">
        <v>2102</v>
      </c>
    </row>
    <row r="618" spans="5:7">
      <c r="E618" t="s">
        <v>2103</v>
      </c>
      <c r="G618" t="s">
        <v>2104</v>
      </c>
    </row>
    <row r="619" spans="5:7">
      <c r="E619" t="s">
        <v>2105</v>
      </c>
      <c r="G619" t="s">
        <v>2106</v>
      </c>
    </row>
    <row r="620" spans="5:7">
      <c r="E620" t="s">
        <v>2107</v>
      </c>
      <c r="G620" t="s">
        <v>2108</v>
      </c>
    </row>
    <row r="621" spans="5:7">
      <c r="E621" t="s">
        <v>2109</v>
      </c>
      <c r="G621" t="s">
        <v>2110</v>
      </c>
    </row>
    <row r="622" spans="5:7">
      <c r="E622" t="s">
        <v>2111</v>
      </c>
      <c r="G622" t="s">
        <v>2112</v>
      </c>
    </row>
    <row r="623" spans="5:7">
      <c r="E623" t="s">
        <v>2113</v>
      </c>
      <c r="G623" t="s">
        <v>2114</v>
      </c>
    </row>
    <row r="624" spans="5:7">
      <c r="E624" t="s">
        <v>2115</v>
      </c>
      <c r="G624" t="s">
        <v>2116</v>
      </c>
    </row>
    <row r="625" spans="5:7">
      <c r="E625" t="s">
        <v>2117</v>
      </c>
      <c r="G625" t="s">
        <v>2118</v>
      </c>
    </row>
    <row r="626" spans="5:7">
      <c r="E626" t="s">
        <v>2119</v>
      </c>
      <c r="G626" t="s">
        <v>2120</v>
      </c>
    </row>
    <row r="627" spans="5:7">
      <c r="E627" t="s">
        <v>2121</v>
      </c>
      <c r="G627" t="s">
        <v>2122</v>
      </c>
    </row>
    <row r="628" spans="5:7">
      <c r="E628" t="s">
        <v>2123</v>
      </c>
      <c r="G628" t="s">
        <v>2124</v>
      </c>
    </row>
    <row r="629" spans="5:7">
      <c r="E629" t="s">
        <v>2125</v>
      </c>
      <c r="G629" t="s">
        <v>2126</v>
      </c>
    </row>
    <row r="630" spans="5:7">
      <c r="E630" t="s">
        <v>2127</v>
      </c>
      <c r="G630" t="s">
        <v>2128</v>
      </c>
    </row>
    <row r="631" spans="5:7">
      <c r="E631" t="s">
        <v>2129</v>
      </c>
      <c r="G631" t="s">
        <v>2130</v>
      </c>
    </row>
    <row r="632" spans="5:7">
      <c r="E632" t="s">
        <v>2131</v>
      </c>
      <c r="G632" t="s">
        <v>2132</v>
      </c>
    </row>
    <row r="633" spans="5:7">
      <c r="E633" t="s">
        <v>2133</v>
      </c>
      <c r="G633" t="s">
        <v>2134</v>
      </c>
    </row>
    <row r="634" spans="5:7">
      <c r="E634" t="s">
        <v>2135</v>
      </c>
      <c r="G634" t="s">
        <v>2136</v>
      </c>
    </row>
    <row r="635" spans="5:7">
      <c r="E635" t="s">
        <v>2137</v>
      </c>
      <c r="G635" t="s">
        <v>2138</v>
      </c>
    </row>
    <row r="636" spans="5:7">
      <c r="E636" t="s">
        <v>2139</v>
      </c>
      <c r="G636" t="s">
        <v>2140</v>
      </c>
    </row>
    <row r="637" spans="5:7">
      <c r="E637" t="s">
        <v>2141</v>
      </c>
      <c r="G637" t="s">
        <v>2142</v>
      </c>
    </row>
    <row r="638" spans="5:7">
      <c r="E638" t="s">
        <v>2143</v>
      </c>
      <c r="G638" t="s">
        <v>2144</v>
      </c>
    </row>
    <row r="639" spans="5:7">
      <c r="E639" t="s">
        <v>2145</v>
      </c>
      <c r="G639" t="s">
        <v>2146</v>
      </c>
    </row>
    <row r="640" spans="5:7">
      <c r="E640" t="s">
        <v>2147</v>
      </c>
      <c r="G640" t="s">
        <v>2148</v>
      </c>
    </row>
    <row r="641" spans="5:7">
      <c r="E641" t="s">
        <v>2149</v>
      </c>
      <c r="G641" t="s">
        <v>2150</v>
      </c>
    </row>
    <row r="642" spans="5:7">
      <c r="E642" t="s">
        <v>2151</v>
      </c>
      <c r="G642" t="s">
        <v>2152</v>
      </c>
    </row>
    <row r="643" spans="5:7">
      <c r="E643" t="s">
        <v>2153</v>
      </c>
      <c r="G643" t="s">
        <v>2154</v>
      </c>
    </row>
    <row r="644" spans="5:7">
      <c r="E644" t="s">
        <v>2155</v>
      </c>
      <c r="G644" t="s">
        <v>2156</v>
      </c>
    </row>
    <row r="645" spans="5:7">
      <c r="E645" t="s">
        <v>2157</v>
      </c>
      <c r="G645" t="s">
        <v>2158</v>
      </c>
    </row>
    <row r="646" spans="5:7">
      <c r="E646" t="s">
        <v>2159</v>
      </c>
      <c r="G646" t="s">
        <v>2160</v>
      </c>
    </row>
  </sheetData>
  <dataValidations count="1">
    <dataValidation type="decimal" operator="greaterThan" allowBlank="1" showErrorMessage="1" errorTitle="Error" error="Please enter only positive numbers for measurements" sqref="A1:A2 C2:C10">
      <formula1>0</formula1>
    </dataValidation>
  </dataValidations>
  <pageMargins left="0.75" right="0.75" top="1" bottom="1" header="0.5" footer="0.5"/>
  <headerFooter/>
  <ignoredErrors>
    <ignoredError sqref="C2:C10" listDataValidation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装箱单&amp;发票 发货信息</vt:lpstr>
      <vt:lpstr>渠道分解&amp;Fba编码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w77</cp:lastModifiedBy>
  <cp:revision>1</cp:revision>
  <dcterms:created xsi:type="dcterms:W3CDTF">2017-02-24T06:19:00Z</dcterms:created>
  <cp:lastPrinted>2018-03-23T10:08:00Z</cp:lastPrinted>
  <dcterms:modified xsi:type="dcterms:W3CDTF">2025-06-13T01:31:56Z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096039A88934440D8BBC097A5921A0CC</vt:lpwstr>
  </property>
</Properties>
</file>